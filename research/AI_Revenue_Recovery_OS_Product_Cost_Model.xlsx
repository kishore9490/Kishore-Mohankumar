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THREE PRODUCT MODELS" sheetId="3" state="visible" r:id="rId3"/>
    <sheet xmlns:r="http://schemas.openxmlformats.org/officeDocument/2006/relationships" name="PROVIDER ARCHITECTURE" sheetId="4" state="visible" r:id="rId4"/>
    <sheet xmlns:r="http://schemas.openxmlformats.org/officeDocument/2006/relationships" name="PAYER ARCHITECTURE" sheetId="5" state="visible" r:id="rId5"/>
    <sheet xmlns:r="http://schemas.openxmlformats.org/officeDocument/2006/relationships" name="COMBINED ARCHITECTURE" sheetId="6" state="visible" r:id="rId6"/>
    <sheet xmlns:r="http://schemas.openxmlformats.org/officeDocument/2006/relationships" name="TECHNOLOGY STACK" sheetId="7" state="visible" r:id="rId7"/>
    <sheet xmlns:r="http://schemas.openxmlformats.org/officeDocument/2006/relationships" name="AZURE ARCHITECTURE" sheetId="8" state="visible" r:id="rId8"/>
    <sheet xmlns:r="http://schemas.openxmlformats.org/officeDocument/2006/relationships" name="AZURE COST" sheetId="9" state="visible" r:id="rId9"/>
    <sheet xmlns:r="http://schemas.openxmlformats.org/officeDocument/2006/relationships" name="AZURE COST BY ENVIRONMENT" sheetId="10" state="visible" r:id="rId10"/>
    <sheet xmlns:r="http://schemas.openxmlformats.org/officeDocument/2006/relationships" name="AZURE COST BY SCALE" sheetId="11" state="visible" r:id="rId11"/>
    <sheet xmlns:r="http://schemas.openxmlformats.org/officeDocument/2006/relationships" name="CLAUDE MAX COST" sheetId="12" state="visible" r:id="rId12"/>
    <sheet xmlns:r="http://schemas.openxmlformats.org/officeDocument/2006/relationships" name="CHATGPT COST" sheetId="13" state="visible" r:id="rId13"/>
    <sheet xmlns:r="http://schemas.openxmlformats.org/officeDocument/2006/relationships" name="PRODUCTION AI COST" sheetId="14" state="visible" r:id="rId14"/>
    <sheet xmlns:r="http://schemas.openxmlformats.org/officeDocument/2006/relationships" name="AI AGENT WORKFORCE" sheetId="15" state="visible" r:id="rId15"/>
    <sheet xmlns:r="http://schemas.openxmlformats.org/officeDocument/2006/relationships" name="HUMAN RESOURCES" sheetId="16" state="visible" r:id="rId16"/>
    <sheet xmlns:r="http://schemas.openxmlformats.org/officeDocument/2006/relationships" name="DEVELOPMENT COST" sheetId="17" state="visible" r:id="rId17"/>
    <sheet xmlns:r="http://schemas.openxmlformats.org/officeDocument/2006/relationships" name="SECURITY COST" sheetId="18" state="visible" r:id="rId18"/>
    <sheet xmlns:r="http://schemas.openxmlformats.org/officeDocument/2006/relationships" name="HIPAA _ PHI COST" sheetId="19" state="visible" r:id="rId19"/>
    <sheet xmlns:r="http://schemas.openxmlformats.org/officeDocument/2006/relationships" name="COMPLIANCE" sheetId="20" state="visible" r:id="rId20"/>
    <sheet xmlns:r="http://schemas.openxmlformats.org/officeDocument/2006/relationships" name="MILESTONES" sheetId="21" state="visible" r:id="rId21"/>
    <sheet xmlns:r="http://schemas.openxmlformats.org/officeDocument/2006/relationships" name="PROJECT PLAN" sheetId="22" state="visible" r:id="rId22"/>
    <sheet xmlns:r="http://schemas.openxmlformats.org/officeDocument/2006/relationships" name="CLOUD COST" sheetId="23" state="visible" r:id="rId23"/>
    <sheet xmlns:r="http://schemas.openxmlformats.org/officeDocument/2006/relationships" name="UNIT ECONOMICS" sheetId="24" state="visible" r:id="rId24"/>
    <sheet xmlns:r="http://schemas.openxmlformats.org/officeDocument/2006/relationships" name="MVP COST" sheetId="25" state="visible" r:id="rId25"/>
    <sheet xmlns:r="http://schemas.openxmlformats.org/officeDocument/2006/relationships" name="PILOT COST" sheetId="26" state="visible" r:id="rId26"/>
    <sheet xmlns:r="http://schemas.openxmlformats.org/officeDocument/2006/relationships" name="PRODUCTION COST" sheetId="27" state="visible" r:id="rId27"/>
    <sheet xmlns:r="http://schemas.openxmlformats.org/officeDocument/2006/relationships" name="12 MONTH BUDGET" sheetId="28" state="visible" r:id="rId28"/>
    <sheet xmlns:r="http://schemas.openxmlformats.org/officeDocument/2006/relationships" name="24 MONTH BUDGET" sheetId="29" state="visible" r:id="rId29"/>
    <sheet xmlns:r="http://schemas.openxmlformats.org/officeDocument/2006/relationships" name="PROVIDER MODEL" sheetId="30" state="visible" r:id="rId30"/>
    <sheet xmlns:r="http://schemas.openxmlformats.org/officeDocument/2006/relationships" name="PAYER MODEL" sheetId="31" state="visible" r:id="rId31"/>
    <sheet xmlns:r="http://schemas.openxmlformats.org/officeDocument/2006/relationships" name="COMBINED MODEL" sheetId="32" state="visible" r:id="rId32"/>
    <sheet xmlns:r="http://schemas.openxmlformats.org/officeDocument/2006/relationships" name="BUILD BUY PARTNER" sheetId="33" state="visible" r:id="rId33"/>
    <sheet xmlns:r="http://schemas.openxmlformats.org/officeDocument/2006/relationships" name="RISKS" sheetId="34" state="visible" r:id="rId34"/>
    <sheet xmlns:r="http://schemas.openxmlformats.org/officeDocument/2006/relationships" name="SECURITY CONTROLS" sheetId="35" state="visible" r:id="rId35"/>
    <sheet xmlns:r="http://schemas.openxmlformats.org/officeDocument/2006/relationships" name="PHI DATA FLOW" sheetId="36" state="visible" r:id="rId36"/>
    <sheet xmlns:r="http://schemas.openxmlformats.org/officeDocument/2006/relationships" name="DR_BCP" sheetId="37" state="visible" r:id="rId37"/>
    <sheet xmlns:r="http://schemas.openxmlformats.org/officeDocument/2006/relationships" name="AI GOVERNANCE" sheetId="38" state="visible" r:id="rId38"/>
    <sheet xmlns:r="http://schemas.openxmlformats.org/officeDocument/2006/relationships" name="SOURCES" sheetId="39" state="visible" r:id="rId39"/>
  </sheets>
  <definedNames>
    <definedName name="_xlnm._FilterDatabase" localSheetId="2" hidden="1">'THREE PRODUCT MODELS'!$A$3:$D$3</definedName>
    <definedName name="_xlnm._FilterDatabase" localSheetId="3" hidden="1">'PROVIDER ARCHITECTURE'!$A$3:$B$3</definedName>
    <definedName name="_xlnm._FilterDatabase" localSheetId="4" hidden="1">'PAYER ARCHITECTURE'!$A$3:$B$3</definedName>
    <definedName name="_xlnm._FilterDatabase" localSheetId="5" hidden="1">'COMBINED ARCHITECTURE'!$A$3:$B$3</definedName>
    <definedName name="_xlnm._FilterDatabase" localSheetId="6" hidden="1">'TECHNOLOGY STACK'!$A$3:$B$3</definedName>
    <definedName name="_xlnm._FilterDatabase" localSheetId="7" hidden="1">'AZURE ARCHITECTURE'!$A$4:$B$4</definedName>
    <definedName name="_xlnm._FilterDatabase" localSheetId="8" hidden="1">'AZURE COST'!$A$4:$F$4</definedName>
    <definedName name="_xlnm._FilterDatabase" localSheetId="9" hidden="1">'AZURE COST BY ENVIRONMENT'!$A$3:$D$3</definedName>
    <definedName name="_xlnm._FilterDatabase" localSheetId="10" hidden="1">'AZURE COST BY SCALE'!$A$4:$E$4</definedName>
    <definedName name="_xlnm._FilterDatabase" localSheetId="11" hidden="1">'CLAUDE MAX COST'!$A$5:$G$5</definedName>
    <definedName name="_xlnm._FilterDatabase" localSheetId="12" hidden="1">'CHATGPT COST'!$A$5:$G$5</definedName>
    <definedName name="_xlnm._FilterDatabase" localSheetId="13" hidden="1">'PRODUCTION AI COST'!$A$11:$C$11</definedName>
    <definedName name="_xlnm._FilterDatabase" localSheetId="14" hidden="1">'AI AGENT WORKFORCE'!$A$4:$C$4</definedName>
    <definedName name="_xlnm._FilterDatabase" localSheetId="15" hidden="1">'HUMAN RESOURCES'!$A$4:$F$4</definedName>
    <definedName name="_xlnm._FilterDatabase" localSheetId="16" hidden="1">'DEVELOPMENT COST'!$A$3:$E$3</definedName>
    <definedName name="_xlnm._FilterDatabase" localSheetId="17" hidden="1">'SECURITY COST'!$A$4:$F$4</definedName>
    <definedName name="_xlnm._FilterDatabase" localSheetId="18" hidden="1">'HIPAA _ PHI COST'!$A$4:$D$4</definedName>
    <definedName name="_xlnm._FilterDatabase" localSheetId="19" hidden="1">'COMPLIANCE'!$A$4:$E$4</definedName>
    <definedName name="_xlnm._FilterDatabase" localSheetId="20" hidden="1">'MILESTONES'!$A$3:$E$3</definedName>
    <definedName name="_xlnm._FilterDatabase" localSheetId="21" hidden="1">'PROJECT PLAN'!$A$3:$B$3</definedName>
    <definedName name="_xlnm._FilterDatabase" localSheetId="22" hidden="1">'CLOUD COST'!$A$3:$F$3</definedName>
    <definedName name="_xlnm._FilterDatabase" localSheetId="23" hidden="1">'UNIT ECONOMICS'!$A$4:$E$4</definedName>
    <definedName name="_xlnm._FilterDatabase" localSheetId="24" hidden="1">'MVP COST'!$A$3:$C$3</definedName>
    <definedName name="_xlnm._FilterDatabase" localSheetId="25" hidden="1">'PILOT COST'!$A$3:$C$3</definedName>
    <definedName name="_xlnm._FilterDatabase" localSheetId="26" hidden="1">'PRODUCTION COST'!$A$3:$C$3</definedName>
    <definedName name="_xlnm._FilterDatabase" localSheetId="27" hidden="1">'12 MONTH BUDGET'!$A$3:$C$3</definedName>
    <definedName name="_xlnm._FilterDatabase" localSheetId="28" hidden="1">'24 MONTH BUDGET'!$A$3:$C$3</definedName>
    <definedName name="_xlnm._FilterDatabase" localSheetId="29" hidden="1">'PROVIDER MODEL'!$A$4:$B$4</definedName>
    <definedName name="_xlnm._FilterDatabase" localSheetId="30" hidden="1">'PAYER MODEL'!$A$4:$B$4</definedName>
    <definedName name="_xlnm._FilterDatabase" localSheetId="31" hidden="1">'COMBINED MODEL'!$A$4:$B$4</definedName>
    <definedName name="_xlnm._FilterDatabase" localSheetId="32" hidden="1">'BUILD BUY PARTNER'!$A$3:$C$3</definedName>
    <definedName name="_xlnm._FilterDatabase" localSheetId="33" hidden="1">'RISKS'!$A$3:$B$3</definedName>
    <definedName name="_xlnm._FilterDatabase" localSheetId="34" hidden="1">'SECURITY CONTROLS'!$A$3:$B$3</definedName>
    <definedName name="_xlnm._FilterDatabase" localSheetId="35" hidden="1">'PHI DATA FLOW'!$A$4:$B$4</definedName>
    <definedName name="_xlnm._FilterDatabase" localSheetId="36" hidden="1">'DR_BCP'!$A$8:$B$8</definedName>
    <definedName name="_xlnm._FilterDatabase" localSheetId="37" hidden="1">'AI GOVERNANCE'!$A$4:$B$4</definedName>
    <definedName name="_xlnm._FilterDatabase" localSheetId="38" hidden="1">'SOURCES'!$A$4:$C$4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000"/>
  </numFmts>
  <fonts count="9">
    <font>
      <name val="Calibri"/>
      <family val="2"/>
      <color theme="1"/>
      <sz val="11"/>
      <scheme val="minor"/>
    </font>
    <font>
      <b val="1"/>
      <color rgb="000C1B30"/>
      <sz val="15"/>
    </font>
    <font>
      <b val="1"/>
      <color rgb="00118C7E"/>
      <sz val="11"/>
    </font>
    <font>
      <i val="1"/>
      <color rgb="006B7B90"/>
      <sz val="9"/>
    </font>
    <font>
      <b val="1"/>
      <sz val="10"/>
    </font>
    <font>
      <b val="1"/>
    </font>
    <font>
      <b val="1"/>
      <color rgb="00FFFFFF"/>
      <sz val="10"/>
    </font>
    <font>
      <color rgb="002E7FC2"/>
      <sz val="8"/>
      <u val="single"/>
    </font>
    <font>
      <color rgb="002E7FC2"/>
      <sz val="9"/>
      <u val="single"/>
    </font>
  </fonts>
  <fills count="5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EAF3EF"/>
      </patternFill>
    </fill>
    <fill>
      <patternFill patternType="solid">
        <fgColor rgb="000C1B30"/>
      </patternFill>
    </fill>
  </fills>
  <borders count="2">
    <border>
      <left/>
      <right/>
      <top/>
      <bottom/>
      <diagonal/>
    </border>
    <border>
      <left style="thin">
        <color rgb="00D5DEE8"/>
      </left>
      <right style="thin">
        <color rgb="00D5DEE8"/>
      </right>
      <top style="thin">
        <color rgb="00D5DEE8"/>
      </top>
      <bottom style="thin">
        <color rgb="00D5DEE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5" fillId="0" borderId="1" pivotButton="0" quotePrefix="0" xfId="0"/>
    <xf numFmtId="3" fontId="0" fillId="3" borderId="1" pivotButton="0" quotePrefix="0" xfId="0"/>
    <xf numFmtId="165" fontId="5" fillId="0" borderId="1" pivotButton="0" quotePrefix="0" xfId="0"/>
    <xf numFmtId="165" fontId="0" fillId="3" borderId="1" pivotButton="0" quotePrefix="0" xfId="0"/>
    <xf numFmtId="0" fontId="4" fillId="0" borderId="0" pivotButton="0" quotePrefix="0" xfId="0"/>
    <xf numFmtId="0" fontId="0" fillId="2" borderId="1" pivotButton="0" quotePrefix="0" xfId="0"/>
    <xf numFmtId="9" fontId="0" fillId="2" borderId="1" pivotButton="0" quotePrefix="0" xfId="0"/>
    <xf numFmtId="164" fontId="0" fillId="2" borderId="1" pivotButton="0" quotePrefix="0" xfId="0"/>
    <xf numFmtId="0" fontId="3" fillId="0" borderId="0" pivotButton="0" quotePrefix="0" xfId="0"/>
    <xf numFmtId="0" fontId="6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3" fontId="0" fillId="0" borderId="1" pivotButton="0" quotePrefix="0" xfId="0"/>
    <xf numFmtId="0" fontId="7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3" fontId="0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9.xml.rels><Relationships xmlns="http://schemas.openxmlformats.org/package/2006/relationships"><Relationship Type="http://schemas.openxmlformats.org/officeDocument/2006/relationships/hyperlink" Target="https://support.claude.com/en/articles/11049741-what-is-the-max-plan" TargetMode="External" Id="rId1"/><Relationship Type="http://schemas.openxmlformats.org/officeDocument/2006/relationships/hyperlink" Target="https://support.claude.com/en/articles/9266767-what-is-the-team-plan" TargetMode="External" Id="rId2"/><Relationship Type="http://schemas.openxmlformats.org/officeDocument/2006/relationships/hyperlink" Target="https://support.claude.com/en/articles/11526368" TargetMode="External" Id="rId3"/><Relationship Type="http://schemas.openxmlformats.org/officeDocument/2006/relationships/hyperlink" Target="https://support.claude.com/en/articles/11145838" TargetMode="External" Id="rId4"/><Relationship Type="http://schemas.openxmlformats.org/officeDocument/2006/relationships/hyperlink" Target="https://openai.com/business/pricing/" TargetMode="External" Id="rId5"/><Relationship Type="http://schemas.openxmlformats.org/officeDocument/2006/relationships/hyperlink" Target="https://openai.com/chatgpt/enterprise/" TargetMode="External" Id="rId6"/><Relationship Type="http://schemas.openxmlformats.org/officeDocument/2006/relationships/hyperlink" Target="https://claude.com/pricing" TargetMode="External" Id="rId7"/><Relationship Type="http://schemas.openxmlformats.org/officeDocument/2006/relationships/hyperlink" Target="https://openai.com/api/pricing/" TargetMode="External" Id="rId8"/><Relationship Type="http://schemas.openxmlformats.org/officeDocument/2006/relationships/hyperlink" Target="https://azure.microsoft.com/en-us/pricing/details/cognitive-services/openai-service/" TargetMode="External" Id="rId9"/><Relationship Type="http://schemas.openxmlformats.org/officeDocument/2006/relationships/hyperlink" Target="https://learn.microsoft.com/en-us/azure/compliance/offerings/offering-hipaa-us" TargetMode="External" Id="rId10"/><Relationship Type="http://schemas.openxmlformats.org/officeDocument/2006/relationships/hyperlink" Target="https://azure.microsoft.com/en-us/pricing/details/search/" TargetMode="External" Id="rId11"/><Relationship Type="http://schemas.openxmlformats.org/officeDocument/2006/relationships/hyperlink" Target="https://azure.microsoft.com/en-us/pricing/details/container-apps/" TargetMode="External" Id="rId12"/><Relationship Type="http://schemas.openxmlformats.org/officeDocument/2006/relationships/hyperlink" Target="https://azure.microsoft.com/en-us/pricing/details/postgresql/flexible-server/" TargetMode="External" Id="rId13"/><Relationship Type="http://schemas.openxmlformats.org/officeDocument/2006/relationships/hyperlink" Target="https://azure.microsoft.com/en-us/pricing/details/frontdoor/" TargetMode="External" Id="rId14"/><Relationship Type="http://schemas.openxmlformats.org/officeDocument/2006/relationships/hyperlink" Target="https://azure.microsoft.com/en-us/pricing/details/api-management/" TargetMode="External" Id="rId15"/><Relationship Type="http://schemas.openxmlformats.org/officeDocument/2006/relationships/hyperlink" Target="https://azure.microsoft.com/en-us/pricing/details/service-bus/" TargetMode="External" Id="rId16"/><Relationship Type="http://schemas.openxmlformats.org/officeDocument/2006/relationships/hyperlink" Target="https://azure.microsoft.com/en-us/pricing/details/cache/" TargetMode="External" Id="rId17"/><Relationship Type="http://schemas.openxmlformats.org/officeDocument/2006/relationships/hyperlink" Target="https://azure.microsoft.com/en-us/pricing/details/storage/blobs/" TargetMode="External" Id="rId18"/><Relationship Type="http://schemas.openxmlformats.org/officeDocument/2006/relationships/hyperlink" Target="https://azure.microsoft.com/en-us/pricing/details/key-vault/" TargetMode="External" Id="rId19"/><Relationship Type="http://schemas.openxmlformats.org/officeDocument/2006/relationships/hyperlink" Target="https://azure.microsoft.com/en-us/pricing/details/defender-for-cloud/" TargetMode="External" Id="rId20"/><Relationship Type="http://schemas.openxmlformats.org/officeDocument/2006/relationships/hyperlink" Target="https://azure.microsoft.com/en-us/pricing/details/microsoft-sentinel/" TargetMode="External" Id="rId21"/><Relationship Type="http://schemas.openxmlformats.org/officeDocument/2006/relationships/hyperlink" Target="https://azure.microsoft.com/en-us/pricing/details/monitor/" TargetMode="External" Id="rId22"/><Relationship Type="http://schemas.openxmlformats.org/officeDocument/2006/relationships/hyperlink" Target="https://azure.microsoft.com/en-us/pricing/details/azure-firewall/" TargetMode="External" Id="rId23"/><Relationship Type="http://schemas.openxmlformats.org/officeDocument/2006/relationships/hyperlink" Target="https://azure.microsoft.com/en-us/pricing/details/azure-bastion/" TargetMode="External" Id="rId24"/><Relationship Type="http://schemas.openxmlformats.org/officeDocument/2006/relationships/hyperlink" Target="https://azure.microsoft.com/en-us/pricing/details/container-registry/" TargetMode="External" Id="rId25"/><Relationship Type="http://schemas.openxmlformats.org/officeDocument/2006/relationships/hyperlink" Target="https://azure.microsoft.com/en-us/pricing/details/bandwidth/" TargetMode="External" Id="rId26"/><Relationship Type="http://schemas.openxmlformats.org/officeDocument/2006/relationships/hyperlink" Target="https://learn.microsoft.com/en-us/azure/compliance/offerings/offering-hipaa-us" TargetMode="External" Id="rId27"/><Relationship Type="http://schemas.openxmlformats.org/officeDocument/2006/relationships/hyperlink" Target="https://azure.microsoft.com/en-us/pricing/details/ai-document-intelligence/" TargetMode="External" Id="rId28"/><Relationship Type="http://schemas.openxmlformats.org/officeDocument/2006/relationships/hyperlink" Target="https://www.retellai.com/blog/ai-voice-agent-pricing-full-cost-breakdown-platform-comparison-roi-analysis" TargetMode="External" Id="rId29"/><Relationship Type="http://schemas.openxmlformats.org/officeDocument/2006/relationships/hyperlink" Target="https://www.stedi.com/pricing" TargetMode="External" Id="rId30"/><Relationship Type="http://schemas.openxmlformats.org/officeDocument/2006/relationships/hyperlink" Target="https://secureframe.com/hub/soc-2/audit-cost" TargetMode="External" Id="rId31"/><Relationship Type="http://schemas.openxmlformats.org/officeDocument/2006/relationships/hyperlink" Target="https://www.thoropass.com/blog/hitrust-audit-cost-a-guide" TargetMode="External" Id="rId32"/><Relationship Type="http://schemas.openxmlformats.org/officeDocument/2006/relationships/hyperlink" Target="https://secureframe.com/hub/hipaa/costs" TargetMode="External" Id="rId33"/><Relationship Type="http://schemas.openxmlformats.org/officeDocument/2006/relationships/hyperlink" Target="https://www.brightdefense.com/resources/penetration-testing-pricing/" TargetMode="External" Id="rId34"/><Relationship Type="http://schemas.openxmlformats.org/officeDocument/2006/relationships/hyperlink" Target="https://www.secureleap.tech/blog/vanta-review-pricing-top-alternatives-for-compliance-automation" TargetMode="External" Id="rId35"/><Relationship Type="http://schemas.openxmlformats.org/officeDocument/2006/relationships/hyperlink" Target="https://sidechannel.com/blog/the-ultimate-guide-to-vciso-pricing-everything-you-need-to-know/" TargetMode="External" Id="rId36"/><Relationship Type="http://schemas.openxmlformats.org/officeDocument/2006/relationships/hyperlink" Target="https://6figr.com/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</cols>
  <sheetData>
    <row r="1">
      <c r="A1" s="1" t="inlineStr">
        <is>
          <t>AI Revenue Recovery OS — Product Build &amp; Investment Model</t>
        </is>
      </c>
    </row>
    <row r="2">
      <c r="A2" s="2" t="inlineStr">
        <is>
          <t>Provider + Payer platform · Azure · AI workforce  ·  August 18, 2026</t>
        </is>
      </c>
    </row>
    <row r="3">
      <c r="A3" s="3" t="inlineStr">
        <is>
          <t>MODEL ASSUMPTIONS with sourced 2026 pricing. Not HIPAA-certified — HIPAA-aligned architecture + program. Quote-only prices marked 'Not publicly disclosed'. No PHI.</t>
        </is>
      </c>
    </row>
    <row r="5">
      <c r="A5" s="2" t="inlineStr">
        <is>
          <t>Headline</t>
        </is>
      </c>
      <c r="B5" s="2" t="inlineStr">
        <is>
          <t>USD</t>
        </is>
      </c>
      <c r="C5" s="2" t="inlineStr">
        <is>
          <t>INR</t>
        </is>
      </c>
    </row>
    <row r="6">
      <c r="A6" s="4" t="inlineStr">
        <is>
          <t>Total MVP investment (est.)</t>
        </is>
      </c>
      <c r="B6" s="5" t="n">
        <v>383068</v>
      </c>
      <c r="C6" s="6">
        <f>B6*'ASSUMPTIONS'!$B$6</f>
        <v/>
      </c>
    </row>
    <row r="7">
      <c r="A7" s="4" t="inlineStr">
        <is>
          <t>12-month investment (est.)</t>
        </is>
      </c>
      <c r="B7" s="5" t="n">
        <v>1492847</v>
      </c>
      <c r="C7" s="6">
        <f>B7*'ASSUMPTIONS'!$B$6</f>
        <v/>
      </c>
    </row>
    <row r="8">
      <c r="A8" s="4" t="inlineStr">
        <is>
          <t>24-month investment (est.)</t>
        </is>
      </c>
      <c r="B8" s="5" t="n">
        <v>4450298</v>
      </c>
      <c r="C8" s="6">
        <f>B8*'ASSUMPTIONS'!$B$6</f>
        <v/>
      </c>
    </row>
    <row r="9">
      <c r="A9" s="4" t="inlineStr">
        <is>
          <t>Avg monthly burn — year 1</t>
        </is>
      </c>
      <c r="B9" s="5" t="n">
        <v>124404</v>
      </c>
      <c r="C9" s="6">
        <f>B9*'ASSUMPTIONS'!$B$6</f>
        <v/>
      </c>
    </row>
    <row r="10">
      <c r="A10" s="4" t="inlineStr">
        <is>
          <t>Azure — MVP / month</t>
        </is>
      </c>
      <c r="B10" s="5" t="n">
        <v>1377</v>
      </c>
      <c r="C10" s="6">
        <f>B10*'ASSUMPTIONS'!$B$6</f>
        <v/>
      </c>
    </row>
    <row r="11">
      <c r="A11" s="4" t="inlineStr">
        <is>
          <t>Azure — Medium production / month</t>
        </is>
      </c>
      <c r="B11" s="5" t="n">
        <v>7176</v>
      </c>
      <c r="C11" s="6">
        <f>B11*'ASSUMPTIONS'!$B$6</f>
        <v/>
      </c>
    </row>
    <row r="12">
      <c r="A12" s="4" t="inlineStr">
        <is>
          <t>Claude Max baseline / month (5 × 20x)</t>
        </is>
      </c>
      <c r="B12" s="5" t="n">
        <v>1000</v>
      </c>
      <c r="C12" s="6">
        <f>B12*'ASSUMPTIONS'!$B$6</f>
        <v/>
      </c>
    </row>
    <row r="13">
      <c r="A13" s="4" t="inlineStr">
        <is>
          <t>ChatGPT baseline / month (5 users)</t>
        </is>
      </c>
      <c r="B13" s="5" t="n">
        <v>100</v>
      </c>
      <c r="C13" s="6">
        <f>B13*'ASSUMPTIONS'!$B$6</f>
        <v/>
      </c>
    </row>
    <row r="14">
      <c r="A14" s="4" t="inlineStr">
        <is>
          <t>Production AI runtime — Medium / month</t>
        </is>
      </c>
      <c r="B14" s="5" t="n">
        <v>96350</v>
      </c>
      <c r="C14" s="6">
        <f>B14*'ASSUMPTIONS'!$B$6</f>
        <v/>
      </c>
    </row>
    <row r="15">
      <c r="A15" s="4" t="inlineStr">
        <is>
          <t>All-in cost per worked claim</t>
        </is>
      </c>
      <c r="B15" s="7" t="n">
        <v>0.4322</v>
      </c>
      <c r="C15" s="8">
        <f>B15*'ASSUMPTIONS'!$B$6</f>
        <v/>
      </c>
    </row>
    <row r="17" ht="44" customHeight="1">
      <c r="A17" s="4" t="inlineStr">
        <is>
          <t>Recommendation: build the common platform from day one; launch Provider/RCM first; add Payer (decision-support) after validation. Baseline team 5 FTE × Claude Max 20x; Azure Container Apps + PostgreSQL Flexible Server + private networking at production; HIPAA-aligned with SOC 2 on the roadmap.</t>
        </is>
      </c>
    </row>
  </sheetData>
  <mergeCells count="1">
    <mergeCell ref="A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Assumptions (edit these — dependent sheets recalculate)</t>
        </is>
      </c>
    </row>
    <row r="2">
      <c r="A2" s="2" t="inlineStr">
        <is>
          <t>Yellow cells are inputs.</t>
        </is>
      </c>
    </row>
    <row r="3">
      <c r="A3" s="3" t="inlineStr">
        <is>
          <t>MODEL ASSUMPTIONS. Prices are researched 2026 figures (see SOURCES). Quote-only items are 'Not publicly disclosed' and never invented.</t>
        </is>
      </c>
    </row>
    <row r="6">
      <c r="A6" s="9" t="inlineStr">
        <is>
          <t>USD to INR exchange rate</t>
        </is>
      </c>
      <c r="B6" s="10" t="n">
        <v>90</v>
      </c>
    </row>
    <row r="7">
      <c r="A7" s="9" t="inlineStr">
        <is>
          <t>Contingency %</t>
        </is>
      </c>
      <c r="B7" s="11" t="n">
        <v>0.15</v>
      </c>
    </row>
    <row r="8">
      <c r="A8" s="9" t="inlineStr">
        <is>
          <t>Claims / month (MVP)</t>
        </is>
      </c>
      <c r="B8" s="10" t="n">
        <v>50000</v>
      </c>
    </row>
    <row r="9">
      <c r="A9" s="9" t="inlineStr">
        <is>
          <t>Claims / month (Medium)</t>
        </is>
      </c>
      <c r="B9" s="10" t="n">
        <v>500000</v>
      </c>
    </row>
    <row r="10">
      <c r="A10" s="9" t="inlineStr">
        <is>
          <t>Claims / month (Large)</t>
        </is>
      </c>
      <c r="B10" s="10" t="n">
        <v>5000000</v>
      </c>
    </row>
    <row r="11">
      <c r="A11" s="9" t="inlineStr">
        <is>
          <t>AI cost per claim (USD)</t>
        </is>
      </c>
      <c r="B11" s="10" t="n">
        <v>0.1211</v>
      </c>
    </row>
    <row r="12">
      <c r="A12" s="9" t="inlineStr">
        <is>
          <t>Voice cost per claim (USD)</t>
        </is>
      </c>
      <c r="B12" s="10" t="n">
        <v>0.0576</v>
      </c>
    </row>
    <row r="13">
      <c r="A13" s="9" t="inlineStr">
        <is>
          <t>Document AI per claim (USD)</t>
        </is>
      </c>
      <c r="B13" s="10" t="n">
        <v>0.0135</v>
      </c>
    </row>
    <row r="14">
      <c r="A14" s="9" t="inlineStr">
        <is>
          <t>Clearinghouse per claim (USD)</t>
        </is>
      </c>
      <c r="B14" s="10" t="n">
        <v>0.24</v>
      </c>
    </row>
    <row r="15">
      <c r="A15" s="9" t="inlineStr">
        <is>
          <t>Claude Max 20x ($/user/mo)</t>
        </is>
      </c>
      <c r="B15" s="10" t="n">
        <v>200</v>
      </c>
    </row>
    <row r="16">
      <c r="A16" s="9" t="inlineStr">
        <is>
          <t>Claude Max users (baseline)</t>
        </is>
      </c>
      <c r="B16" s="10" t="n">
        <v>5</v>
      </c>
    </row>
    <row r="17">
      <c r="A17" s="9" t="inlineStr">
        <is>
          <t>ChatGPT Business ($/user/mo)</t>
        </is>
      </c>
      <c r="B17" s="10" t="n">
        <v>20</v>
      </c>
    </row>
    <row r="18">
      <c r="A18" s="9" t="inlineStr">
        <is>
          <t>ChatGPT users</t>
        </is>
      </c>
      <c r="B18" s="10" t="n">
        <v>5</v>
      </c>
    </row>
    <row r="19">
      <c r="A19" s="9" t="inlineStr">
        <is>
          <t>Team fully-loaded factor</t>
        </is>
      </c>
      <c r="B19" s="12" t="n">
        <v>1.4</v>
      </c>
    </row>
    <row r="21">
      <c r="A21" s="13" t="inlineStr">
        <is>
          <t>Yellow = input; green = calculated. Changing an input recalculates dependent sheets on open.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44" customWidth="1" min="3" max="3"/>
    <col width="34" customWidth="1" min="4" max="4"/>
  </cols>
  <sheetData>
    <row r="1">
      <c r="A1" s="1" t="inlineStr">
        <is>
          <t>Three product models</t>
        </is>
      </c>
    </row>
    <row r="3" ht="28" customHeight="1">
      <c r="A3" s="14" t="inlineStr">
        <is>
          <t>Model</t>
        </is>
      </c>
      <c r="B3" s="14" t="inlineStr">
        <is>
          <t>Customer</t>
        </is>
      </c>
      <c r="C3" s="14" t="inlineStr">
        <is>
          <t>Positioning</t>
        </is>
      </c>
      <c r="D3" s="14" t="inlineStr">
        <is>
          <t>Regulatory posture</t>
        </is>
      </c>
    </row>
    <row r="4">
      <c r="A4" s="15" t="inlineStr">
        <is>
          <t>A — Provider / RCM</t>
        </is>
      </c>
      <c r="B4" s="15" t="inlineStr">
        <is>
          <t>Billing/RCM cos, hospitals, health systems, groups</t>
        </is>
      </c>
      <c r="C4" s="15" t="inlineStr">
        <is>
          <t>Provider revenue automation across the RCM lifecycle</t>
        </is>
      </c>
      <c r="D4" s="15" t="inlineStr">
        <is>
          <t>BAA; standard SaaS</t>
        </is>
      </c>
    </row>
    <row r="5">
      <c r="A5" s="15" t="inlineStr">
        <is>
          <t>B — Payer</t>
        </is>
      </c>
      <c r="B5" s="15" t="inlineStr">
        <is>
          <t>Insurers, health plans, MA orgs, Medicaid MCOs, TPAs</t>
        </is>
      </c>
      <c r="C5" s="15" t="inlineStr">
        <is>
          <t>AI decision-support + workflow automation with payer governance</t>
        </is>
      </c>
      <c r="D5" s="15" t="inlineStr">
        <is>
          <t>Model A/B; delegated funcs need legal review</t>
        </is>
      </c>
    </row>
    <row r="6">
      <c r="A6" s="15" t="inlineStr">
        <is>
          <t>C — Provider + Payer</t>
        </is>
      </c>
      <c r="B6" s="15" t="inlineStr">
        <is>
          <t>Long-term platform</t>
        </is>
      </c>
      <c r="C6" s="15" t="inlineStr">
        <is>
          <t>Shared foundation with strict tenant isolation</t>
        </is>
      </c>
      <c r="D6" s="15" t="inlineStr">
        <is>
          <t>Never mix tenant data; authorized cross-party only</t>
        </is>
      </c>
    </row>
  </sheetData>
  <autoFilter ref="A3:D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72" customWidth="1" min="2" max="2"/>
  </cols>
  <sheetData>
    <row r="1">
      <c r="A1" s="1" t="inlineStr">
        <is>
          <t>Provider architecture</t>
        </is>
      </c>
    </row>
    <row r="3" ht="28" customHeight="1">
      <c r="A3" s="14" t="inlineStr">
        <is>
          <t>Layer / Component</t>
        </is>
      </c>
      <c r="B3" s="14" t="inlineStr">
        <is>
          <t>Description</t>
        </is>
      </c>
    </row>
    <row r="4">
      <c r="A4" s="15" t="inlineStr">
        <is>
          <t>Ingress</t>
        </is>
      </c>
      <c r="B4" s="15" t="inlineStr">
        <is>
          <t>Front Door → WAF → APIM → Entra ID</t>
        </is>
      </c>
    </row>
    <row r="5">
      <c r="A5" s="15" t="inlineStr">
        <is>
          <t>Provider API</t>
        </is>
      </c>
      <c r="B5" s="15" t="inlineStr">
        <is>
          <t>Eligibility, benefits, estimation, prior auth, claims, status, denials, appeals, recovery</t>
        </is>
      </c>
    </row>
    <row r="6">
      <c r="A6" s="15" t="inlineStr">
        <is>
          <t>Orchestration</t>
        </is>
      </c>
      <c r="B6" s="15" t="inlineStr">
        <is>
          <t>Right-channel engine: EDI → API → FHIR → Portal → Voice → Human</t>
        </is>
      </c>
    </row>
    <row r="7">
      <c r="A7" s="15" t="inlineStr">
        <is>
          <t>Data</t>
        </is>
      </c>
      <c r="B7" s="15" t="inlineStr">
        <is>
          <t>PostgreSQL (RLS by tenant), Blob (claims/docs), Redis</t>
        </is>
      </c>
    </row>
    <row r="8">
      <c r="A8" s="15" t="inlineStr">
        <is>
          <t>AI</t>
        </is>
      </c>
      <c r="B8" s="15" t="inlineStr">
        <is>
          <t>AI Gateway + RAG (payer policies), denial/appeal intelligence</t>
        </is>
      </c>
    </row>
    <row r="9">
      <c r="A9" s="15" t="inlineStr">
        <is>
          <t>Connectivity</t>
        </is>
      </c>
      <c r="B9" s="15" t="inlineStr">
        <is>
          <t>Clearinghouse APIs (Stedi/Optum/Availity), payer FHIR (2027)</t>
        </is>
      </c>
    </row>
  </sheetData>
  <autoFilter ref="A3:B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72" customWidth="1" min="2" max="2"/>
  </cols>
  <sheetData>
    <row r="1">
      <c r="A1" s="1" t="inlineStr">
        <is>
          <t>Payer architecture (decision-support)</t>
        </is>
      </c>
    </row>
    <row r="3" ht="28" customHeight="1">
      <c r="A3" s="14" t="inlineStr">
        <is>
          <t>Layer / Component</t>
        </is>
      </c>
      <c r="B3" s="14" t="inlineStr">
        <is>
          <t>Description</t>
        </is>
      </c>
    </row>
    <row r="4">
      <c r="A4" s="15" t="inlineStr">
        <is>
          <t>Ingress</t>
        </is>
      </c>
      <c r="B4" s="15" t="inlineStr">
        <is>
          <t>Same secured ingress; payer tenant isolation</t>
        </is>
      </c>
    </row>
    <row r="5">
      <c r="A5" s="15" t="inlineStr">
        <is>
          <t>Payer API</t>
        </is>
      </c>
      <c r="B5" s="15" t="inlineStr">
        <is>
          <t>Claim intake, validation, adjudication decision-support, payment integrity, denial ops, appeals, provider comms</t>
        </is>
      </c>
    </row>
    <row r="6">
      <c r="A6" s="15" t="inlineStr">
        <is>
          <t>Governance</t>
        </is>
      </c>
      <c r="B6" s="15" t="inlineStr">
        <is>
          <t>AI recommendation → rules validation → human/payer approval → execution → audit</t>
        </is>
      </c>
    </row>
    <row r="7">
      <c r="A7" s="15" t="inlineStr">
        <is>
          <t>Guardrail</t>
        </is>
      </c>
      <c r="B7" s="15" t="inlineStr">
        <is>
          <t>No final coverage/medical-necessity/payment decision by AI alone (CMS-4201-F; SB 1120)</t>
        </is>
      </c>
    </row>
    <row r="8">
      <c r="A8" s="15" t="inlineStr">
        <is>
          <t>Data</t>
        </is>
      </c>
      <c r="B8" s="15" t="inlineStr">
        <is>
          <t>Payer tenant DB / dedicated for enterprise; never visible to provider tenants</t>
        </is>
      </c>
    </row>
    <row r="9">
      <c r="A9" s="15" t="inlineStr">
        <is>
          <t>Intelligence</t>
        </is>
      </c>
      <c r="B9" s="15" t="inlineStr">
        <is>
          <t>Payer Intelligence + coverage-policy RAG (NCD/LCD; license InterQual/MCG)</t>
        </is>
      </c>
    </row>
  </sheetData>
  <autoFilter ref="A3:B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72" customWidth="1" min="2" max="2"/>
  </cols>
  <sheetData>
    <row r="1">
      <c r="A1" s="1" t="inlineStr">
        <is>
          <t>Combined (provider + payer) architecture</t>
        </is>
      </c>
    </row>
    <row r="3" ht="28" customHeight="1">
      <c r="A3" s="14" t="inlineStr">
        <is>
          <t>Layer / Component</t>
        </is>
      </c>
      <c r="B3" s="14" t="inlineStr">
        <is>
          <t>Description</t>
        </is>
      </c>
    </row>
    <row r="4">
      <c r="A4" s="15" t="inlineStr">
        <is>
          <t>Tenancy</t>
        </is>
      </c>
      <c r="B4" s="15" t="inlineStr">
        <is>
          <t>PLATFORM · PROVIDER · PAYER · RCM/BPO · ENTERPRISE; every record tenant_id/org_id/env_id</t>
        </is>
      </c>
    </row>
    <row r="5">
      <c r="A5" s="15" t="inlineStr">
        <is>
          <t>Isolation</t>
        </is>
      </c>
      <c r="B5" s="15" t="inlineStr">
        <is>
          <t>App + DB RLS (MVP) → schema/keys (V1) → dedicated DB/env (Enterprise)</t>
        </is>
      </c>
    </row>
    <row r="6">
      <c r="A6" s="15" t="inlineStr">
        <is>
          <t>Cross-party</t>
        </is>
      </c>
      <c r="B6" s="15" t="inlineStr">
        <is>
          <t>Authorized, purpose-limited, logged, encrypted, tenant-aware, contractual only</t>
        </is>
      </c>
    </row>
    <row r="7">
      <c r="A7" s="15" t="inlineStr">
        <is>
          <t>Shared core</t>
        </is>
      </c>
      <c r="B7" s="15" t="inlineStr">
        <is>
          <t>Orchestration, Payer Intelligence, audit, security — built once</t>
        </is>
      </c>
    </row>
    <row r="8">
      <c r="A8" s="15" t="inlineStr">
        <is>
          <t>Separation</t>
        </is>
      </c>
      <c r="B8" s="15" t="inlineStr">
        <is>
          <t>Provider data never auto-visible to payer, and vice versa</t>
        </is>
      </c>
    </row>
  </sheetData>
  <autoFilter ref="A3:B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Technology stack</t>
        </is>
      </c>
    </row>
    <row r="3" ht="28" customHeight="1">
      <c r="A3" s="14" t="inlineStr">
        <is>
          <t>Layer</t>
        </is>
      </c>
      <c r="B3" s="14" t="inlineStr">
        <is>
          <t>Technology</t>
        </is>
      </c>
    </row>
    <row r="4">
      <c r="A4" s="15" t="inlineStr">
        <is>
          <t>Cloud</t>
        </is>
      </c>
      <c r="B4" s="15" t="inlineStr">
        <is>
          <t>Microsoft Azure (East US 2 primary)</t>
        </is>
      </c>
    </row>
    <row r="5">
      <c r="A5" s="15" t="inlineStr">
        <is>
          <t>Compute</t>
        </is>
      </c>
      <c r="B5" s="15" t="inlineStr">
        <is>
          <t>Azure Container Apps (AKS only when justified)</t>
        </is>
      </c>
    </row>
    <row r="6">
      <c r="A6" s="15" t="inlineStr">
        <is>
          <t>Data</t>
        </is>
      </c>
      <c r="B6" s="15" t="inlineStr">
        <is>
          <t>PostgreSQL Flexible Server (RLS, HA, PITR)</t>
        </is>
      </c>
    </row>
    <row r="7">
      <c r="A7" s="15" t="inlineStr">
        <is>
          <t>Cache</t>
        </is>
      </c>
      <c r="B7" s="15" t="inlineStr">
        <is>
          <t>Azure Cache for Redis / Managed Redis</t>
        </is>
      </c>
    </row>
    <row r="8">
      <c r="A8" s="15" t="inlineStr">
        <is>
          <t>Messaging</t>
        </is>
      </c>
      <c r="B8" s="15" t="inlineStr">
        <is>
          <t>Azure Service Bus</t>
        </is>
      </c>
    </row>
    <row r="9">
      <c r="A9" s="15" t="inlineStr">
        <is>
          <t>Storage</t>
        </is>
      </c>
      <c r="B9" s="15" t="inlineStr">
        <is>
          <t>Azure Blob (private, encrypted, lifecycle)</t>
        </is>
      </c>
    </row>
    <row r="10">
      <c r="A10" s="15" t="inlineStr">
        <is>
          <t>Search/RAG</t>
        </is>
      </c>
      <c r="B10" s="15" t="inlineStr">
        <is>
          <t>Azure AI Search (vector)</t>
        </is>
      </c>
    </row>
    <row r="11">
      <c r="A11" s="15" t="inlineStr">
        <is>
          <t>Identity</t>
        </is>
      </c>
      <c r="B11" s="15" t="inlineStr">
        <is>
          <t>Microsoft Entra ID (MFA, CA, PIM, Managed Identity)</t>
        </is>
      </c>
    </row>
    <row r="12">
      <c r="A12" s="15" t="inlineStr">
        <is>
          <t>API</t>
        </is>
      </c>
      <c r="B12" s="15" t="inlineStr">
        <is>
          <t>Azure API Management + Front Door + WAF</t>
        </is>
      </c>
    </row>
    <row r="13">
      <c r="A13" s="15" t="inlineStr">
        <is>
          <t>AI</t>
        </is>
      </c>
      <c r="B13" s="15" t="inlineStr">
        <is>
          <t>AI Gateway → Azure OpenAI (PHI/BAA) · Anthropic · OpenAI</t>
        </is>
      </c>
    </row>
    <row r="14">
      <c r="A14" s="15" t="inlineStr">
        <is>
          <t>Security</t>
        </is>
      </c>
      <c r="B14" s="15" t="inlineStr">
        <is>
          <t>Key Vault/HSM, Private Link, Firewall, Defender, Sentinel, Monitor</t>
        </is>
      </c>
    </row>
    <row r="15">
      <c r="A15" s="15" t="inlineStr">
        <is>
          <t>CI/CD</t>
        </is>
      </c>
      <c r="B15" s="15" t="inlineStr">
        <is>
          <t>GitHub + Actions; SAST/DAST/SCA/secret/container/IaC scanning</t>
        </is>
      </c>
    </row>
  </sheetData>
  <autoFilter ref="A3:B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84" customWidth="1" min="2" max="2"/>
  </cols>
  <sheetData>
    <row r="1">
      <c r="A1" s="1" t="inlineStr">
        <is>
          <t>Azure architecture — tiers</t>
        </is>
      </c>
    </row>
    <row r="2">
      <c r="A2" s="3" t="inlineStr">
        <is>
          <t>Do not over-engineer the MVP; add premium networking/security at production.</t>
        </is>
      </c>
    </row>
    <row r="4" ht="28" customHeight="1">
      <c r="A4" s="14" t="inlineStr">
        <is>
          <t>Tier</t>
        </is>
      </c>
      <c r="B4" s="14" t="inlineStr">
        <is>
          <t>Footprint</t>
        </is>
      </c>
    </row>
    <row r="5">
      <c r="A5" s="15" t="inlineStr">
        <is>
          <t>MVP</t>
        </is>
      </c>
      <c r="B5" s="15" t="inlineStr">
        <is>
          <t>Container Apps · PostgreSQL Flex · Blob · Service Bus · Key Vault · Entra ID · App Insights · Monitor · WAF · (APIM)</t>
        </is>
      </c>
    </row>
    <row r="6">
      <c r="A6" s="15" t="inlineStr">
        <is>
          <t>Production</t>
        </is>
      </c>
      <c r="B6" s="15" t="inlineStr">
        <is>
          <t>+ HA · Private endpoints · Azure Firewall · Defender · Sentinel · advanced monitoring · DR · geo-redundancy · HSM (where justified)</t>
        </is>
      </c>
    </row>
    <row r="7">
      <c r="A7" s="15" t="inlineStr">
        <is>
          <t>Large enterprise</t>
        </is>
      </c>
      <c r="B7" s="15" t="inlineStr">
        <is>
          <t>+ Dedicated env/DB/keys/networking/logging · optional regional deployment</t>
        </is>
      </c>
    </row>
  </sheetData>
  <autoFilter ref="A4:B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4" customWidth="1" min="3" max="3"/>
    <col width="16" customWidth="1" min="4" max="4"/>
    <col width="14" customWidth="1" min="5" max="5"/>
    <col width="42" customWidth="1" min="6" max="6"/>
  </cols>
  <sheetData>
    <row r="1">
      <c r="A1" s="1" t="inlineStr">
        <is>
          <t>Azure cost — MVP line items (USD + INR)</t>
        </is>
      </c>
    </row>
    <row r="2">
      <c r="A2" s="3" t="inlineStr">
        <is>
          <t>INR = USD × exchange rate (ASSUMPTIONS). Monthly figures are MODEL ASSUMPTIONS derived from unit rates.</t>
        </is>
      </c>
    </row>
    <row r="4" ht="28" customHeight="1">
      <c r="A4" s="14" t="inlineStr">
        <is>
          <t>Service</t>
        </is>
      </c>
      <c r="B4" s="14" t="inlineStr">
        <is>
          <t>Tier</t>
        </is>
      </c>
      <c r="C4" s="14" t="inlineStr">
        <is>
          <t>Monthly USD</t>
        </is>
      </c>
      <c r="D4" s="14" t="inlineStr">
        <is>
          <t>Monthly INR</t>
        </is>
      </c>
      <c r="E4" s="14" t="inlineStr">
        <is>
          <t>Annual USD</t>
        </is>
      </c>
      <c r="F4" s="14" t="inlineStr">
        <is>
          <t>Source</t>
        </is>
      </c>
    </row>
    <row r="5">
      <c r="A5" s="16" t="inlineStr">
        <is>
          <t>Container Apps</t>
        </is>
      </c>
      <c r="B5" s="16" t="inlineStr">
        <is>
          <t>Consumption (scaled)</t>
        </is>
      </c>
      <c r="C5" s="17" t="n">
        <v>120</v>
      </c>
      <c r="D5" s="6">
        <f>C5*'ASSUMPTIONS'!$B$6</f>
        <v/>
      </c>
      <c r="E5" s="17">
        <f>C5*12</f>
        <v/>
      </c>
      <c r="F5" s="18" t="inlineStr">
        <is>
          <t>https://azure.microsoft.com/en-us/pricing/details/container-apps/</t>
        </is>
      </c>
    </row>
    <row r="6">
      <c r="A6" s="16" t="inlineStr">
        <is>
          <t>PostgreSQL Flexible Server</t>
        </is>
      </c>
      <c r="B6" s="16" t="inlineStr">
        <is>
          <t>GP D4ds_v5 + HA</t>
        </is>
      </c>
      <c r="C6" s="17" t="n">
        <v>500</v>
      </c>
      <c r="D6" s="6">
        <f>C6*'ASSUMPTIONS'!$B$6</f>
        <v/>
      </c>
      <c r="E6" s="17">
        <f>C6*12</f>
        <v/>
      </c>
      <c r="F6" s="18" t="inlineStr">
        <is>
          <t>https://azure.microsoft.com/en-us/pricing/details/postgresql/flexible-server/</t>
        </is>
      </c>
    </row>
    <row r="7">
      <c r="A7" s="16" t="inlineStr">
        <is>
          <t>Cache for Redis</t>
        </is>
      </c>
      <c r="B7" s="16" t="inlineStr">
        <is>
          <t>Standard C1</t>
        </is>
      </c>
      <c r="C7" s="17" t="n">
        <v>52</v>
      </c>
      <c r="D7" s="6">
        <f>C7*'ASSUMPTIONS'!$B$6</f>
        <v/>
      </c>
      <c r="E7" s="17">
        <f>C7*12</f>
        <v/>
      </c>
      <c r="F7" s="18" t="inlineStr">
        <is>
          <t>https://azure.microsoft.com/en-us/pricing/details/cache/</t>
        </is>
      </c>
    </row>
    <row r="8">
      <c r="A8" s="16" t="inlineStr">
        <is>
          <t>Blob Storage</t>
        </is>
      </c>
      <c r="B8" s="16" t="inlineStr">
        <is>
          <t>Hot LRS</t>
        </is>
      </c>
      <c r="C8" s="17" t="n">
        <v>40</v>
      </c>
      <c r="D8" s="6">
        <f>C8*'ASSUMPTIONS'!$B$6</f>
        <v/>
      </c>
      <c r="E8" s="17">
        <f>C8*12</f>
        <v/>
      </c>
      <c r="F8" s="18" t="inlineStr">
        <is>
          <t>https://azure.microsoft.com/en-us/pricing/details/storage/blobs/</t>
        </is>
      </c>
    </row>
    <row r="9">
      <c r="A9" s="16" t="inlineStr">
        <is>
          <t>Service Bus</t>
        </is>
      </c>
      <c r="B9" s="16" t="inlineStr">
        <is>
          <t>Standard</t>
        </is>
      </c>
      <c r="C9" s="17" t="n">
        <v>30</v>
      </c>
      <c r="D9" s="6">
        <f>C9*'ASSUMPTIONS'!$B$6</f>
        <v/>
      </c>
      <c r="E9" s="17">
        <f>C9*12</f>
        <v/>
      </c>
      <c r="F9" s="18" t="inlineStr">
        <is>
          <t>https://azure.microsoft.com/en-us/pricing/details/service-bus/</t>
        </is>
      </c>
    </row>
    <row r="10">
      <c r="A10" s="16" t="inlineStr">
        <is>
          <t>Key Vault</t>
        </is>
      </c>
      <c r="B10" s="16" t="inlineStr">
        <is>
          <t>Standard</t>
        </is>
      </c>
      <c r="C10" s="17" t="n">
        <v>15</v>
      </c>
      <c r="D10" s="6">
        <f>C10*'ASSUMPTIONS'!$B$6</f>
        <v/>
      </c>
      <c r="E10" s="17">
        <f>C10*12</f>
        <v/>
      </c>
      <c r="F10" s="18" t="inlineStr">
        <is>
          <t>https://azure.microsoft.com/en-us/pricing/details/key-vault/</t>
        </is>
      </c>
    </row>
    <row r="11">
      <c r="A11" s="16" t="inlineStr">
        <is>
          <t>Front Door</t>
        </is>
      </c>
      <c r="B11" s="16" t="inlineStr">
        <is>
          <t>Standard + custom WAF</t>
        </is>
      </c>
      <c r="C11" s="17" t="n">
        <v>35</v>
      </c>
      <c r="D11" s="6">
        <f>C11*'ASSUMPTIONS'!$B$6</f>
        <v/>
      </c>
      <c r="E11" s="17">
        <f>C11*12</f>
        <v/>
      </c>
      <c r="F11" s="18" t="inlineStr">
        <is>
          <t>https://azure.microsoft.com/en-us/pricing/details/frontdoor/</t>
        </is>
      </c>
    </row>
    <row r="12">
      <c r="A12" s="16" t="inlineStr">
        <is>
          <t>API Management</t>
        </is>
      </c>
      <c r="B12" s="16" t="inlineStr">
        <is>
          <t>Basic v2</t>
        </is>
      </c>
      <c r="C12" s="17" t="n">
        <v>210</v>
      </c>
      <c r="D12" s="6">
        <f>C12*'ASSUMPTIONS'!$B$6</f>
        <v/>
      </c>
      <c r="E12" s="17">
        <f>C12*12</f>
        <v/>
      </c>
      <c r="F12" s="18" t="inlineStr">
        <is>
          <t>https://azure.microsoft.com/en-us/pricing/details/api-management/</t>
        </is>
      </c>
    </row>
    <row r="13">
      <c r="A13" s="16" t="inlineStr">
        <is>
          <t>Defender for Cloud</t>
        </is>
      </c>
      <c r="B13" s="16" t="inlineStr">
        <is>
          <t>Servers P2 (few)</t>
        </is>
      </c>
      <c r="C13" s="17" t="n">
        <v>60</v>
      </c>
      <c r="D13" s="6">
        <f>C13*'ASSUMPTIONS'!$B$6</f>
        <v/>
      </c>
      <c r="E13" s="17">
        <f>C13*12</f>
        <v/>
      </c>
      <c r="F13" s="18" t="inlineStr">
        <is>
          <t>https://azure.microsoft.com/en-us/pricing/details/defender-for-cloud/</t>
        </is>
      </c>
    </row>
    <row r="14">
      <c r="A14" s="16" t="inlineStr">
        <is>
          <t>Sentinel + Log Analytics</t>
        </is>
      </c>
      <c r="B14" s="16" t="inlineStr">
        <is>
          <t>~30 GB/mo</t>
        </is>
      </c>
      <c r="C14" s="17" t="n">
        <v>150</v>
      </c>
      <c r="D14" s="6">
        <f>C14*'ASSUMPTIONS'!$B$6</f>
        <v/>
      </c>
      <c r="E14" s="17">
        <f>C14*12</f>
        <v/>
      </c>
      <c r="F14" s="18" t="inlineStr">
        <is>
          <t>https://azure.microsoft.com/en-us/pricing/details/microsoft-sentinel/</t>
        </is>
      </c>
    </row>
    <row r="15">
      <c r="A15" s="16" t="inlineStr">
        <is>
          <t>Azure Monitor / App Insights</t>
        </is>
      </c>
      <c r="B15" s="16" t="inlineStr">
        <is>
          <t>PAYG</t>
        </is>
      </c>
      <c r="C15" s="17" t="n">
        <v>40</v>
      </c>
      <c r="D15" s="6">
        <f>C15*'ASSUMPTIONS'!$B$6</f>
        <v/>
      </c>
      <c r="E15" s="17">
        <f>C15*12</f>
        <v/>
      </c>
      <c r="F15" s="18" t="inlineStr">
        <is>
          <t>https://azure.microsoft.com/en-us/pricing/details/monitor/</t>
        </is>
      </c>
    </row>
    <row r="16">
      <c r="A16" s="16" t="inlineStr">
        <is>
          <t>Container Registry</t>
        </is>
      </c>
      <c r="B16" s="16" t="inlineStr">
        <is>
          <t>Standard</t>
        </is>
      </c>
      <c r="C16" s="17" t="n">
        <v>20</v>
      </c>
      <c r="D16" s="6">
        <f>C16*'ASSUMPTIONS'!$B$6</f>
        <v/>
      </c>
      <c r="E16" s="17">
        <f>C16*12</f>
        <v/>
      </c>
      <c r="F16" s="18" t="inlineStr">
        <is>
          <t>https://azure.microsoft.com/en-us/pricing/details/container-registry/</t>
        </is>
      </c>
    </row>
    <row r="17">
      <c r="A17" s="16" t="inlineStr">
        <is>
          <t>Bandwidth / Egress</t>
        </is>
      </c>
      <c r="B17" s="16" t="inlineStr">
        <is>
          <t>~300 GB</t>
        </is>
      </c>
      <c r="C17" s="17" t="n">
        <v>30</v>
      </c>
      <c r="D17" s="6">
        <f>C17*'ASSUMPTIONS'!$B$6</f>
        <v/>
      </c>
      <c r="E17" s="17">
        <f>C17*12</f>
        <v/>
      </c>
      <c r="F17" s="18" t="inlineStr">
        <is>
          <t>https://azure.microsoft.com/en-us/pricing/details/bandwidth/</t>
        </is>
      </c>
    </row>
    <row r="18">
      <c r="A18" s="16" t="inlineStr">
        <is>
          <t>Azure AI Search</t>
        </is>
      </c>
      <c r="B18" s="16" t="inlineStr">
        <is>
          <t>Basic</t>
        </is>
      </c>
      <c r="C18" s="17" t="n">
        <v>75</v>
      </c>
      <c r="D18" s="6">
        <f>C18*'ASSUMPTIONS'!$B$6</f>
        <v/>
      </c>
      <c r="E18" s="17">
        <f>C18*12</f>
        <v/>
      </c>
      <c r="F18" s="18" t="inlineStr">
        <is>
          <t>https://azure.microsoft.com/en-us/pricing/details/search/</t>
        </is>
      </c>
    </row>
    <row r="19">
      <c r="A19" s="19" t="inlineStr">
        <is>
          <t>TOTAL (MVP / month)</t>
        </is>
      </c>
      <c r="C19" s="20">
        <f>SUM(C5:C18)</f>
        <v/>
      </c>
      <c r="D19" s="21">
        <f>C19*'ASSUMPTIONS'!$B$6</f>
        <v/>
      </c>
    </row>
  </sheetData>
  <autoFilter ref="A4:F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</cols>
  <sheetData>
    <row r="1">
      <c r="A1" s="1" t="inlineStr">
        <is>
          <t>Azure cost by environment (share of production)</t>
        </is>
      </c>
    </row>
    <row r="3" ht="28" customHeight="1">
      <c r="A3" s="14" t="inlineStr">
        <is>
          <t>Environment</t>
        </is>
      </c>
      <c r="B3" s="14" t="inlineStr">
        <is>
          <t>Sizing vs prod</t>
        </is>
      </c>
      <c r="C3" s="14" t="inlineStr">
        <is>
          <t>Monthly USD (est.)</t>
        </is>
      </c>
      <c r="D3" s="14" t="inlineStr">
        <is>
          <t>Monthly INR</t>
        </is>
      </c>
    </row>
    <row r="4">
      <c r="A4" s="16" t="inlineStr">
        <is>
          <t>DEV</t>
        </is>
      </c>
      <c r="B4" s="16" t="inlineStr">
        <is>
          <t>10%</t>
        </is>
      </c>
      <c r="C4" s="17" t="n">
        <v>718</v>
      </c>
      <c r="D4" s="21">
        <f>C4*'ASSUMPTIONS'!$B$6</f>
        <v/>
      </c>
    </row>
    <row r="5">
      <c r="A5" s="16" t="inlineStr">
        <is>
          <t>TEST</t>
        </is>
      </c>
      <c r="B5" s="16" t="inlineStr">
        <is>
          <t>10%</t>
        </is>
      </c>
      <c r="C5" s="17" t="n">
        <v>718</v>
      </c>
      <c r="D5" s="21">
        <f>C5*'ASSUMPTIONS'!$B$6</f>
        <v/>
      </c>
    </row>
    <row r="6">
      <c r="A6" s="16" t="inlineStr">
        <is>
          <t>STAGING</t>
        </is>
      </c>
      <c r="B6" s="16" t="inlineStr">
        <is>
          <t>25%</t>
        </is>
      </c>
      <c r="C6" s="17" t="n">
        <v>1794</v>
      </c>
      <c r="D6" s="21">
        <f>C6*'ASSUMPTIONS'!$B$6</f>
        <v/>
      </c>
    </row>
    <row r="7">
      <c r="A7" s="16" t="inlineStr">
        <is>
          <t>PRODUCTION</t>
        </is>
      </c>
      <c r="B7" s="16" t="inlineStr">
        <is>
          <t>100%</t>
        </is>
      </c>
      <c r="C7" s="17" t="n">
        <v>7176</v>
      </c>
      <c r="D7" s="21">
        <f>C7*'ASSUMPTIONS'!$B$6</f>
        <v/>
      </c>
    </row>
  </sheetData>
  <autoFilter ref="A3:D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6" customWidth="1" min="3" max="3"/>
    <col width="14" customWidth="1" min="4" max="4"/>
    <col width="16" customWidth="1" min="5" max="5"/>
  </cols>
  <sheetData>
    <row r="1">
      <c r="A1" s="1" t="inlineStr">
        <is>
          <t>Azure monthly cost by scale (all line items)</t>
        </is>
      </c>
    </row>
    <row r="2">
      <c r="A2" s="3" t="inlineStr">
        <is>
          <t>Per-service monthly MODEL ASSUMPTIONS from unit rates; INR via exchange rate.</t>
        </is>
      </c>
    </row>
    <row r="4" ht="28" customHeight="1">
      <c r="A4" s="14" t="inlineStr">
        <is>
          <t>Scenario</t>
        </is>
      </c>
      <c r="B4" s="14" t="inlineStr">
        <is>
          <t>Service</t>
        </is>
      </c>
      <c r="C4" s="14" t="inlineStr">
        <is>
          <t>Tier</t>
        </is>
      </c>
      <c r="D4" s="14" t="inlineStr">
        <is>
          <t>Monthly USD</t>
        </is>
      </c>
      <c r="E4" s="14" t="inlineStr">
        <is>
          <t>Monthly INR</t>
        </is>
      </c>
    </row>
    <row r="5">
      <c r="A5" s="16" t="inlineStr">
        <is>
          <t>Development</t>
        </is>
      </c>
      <c r="B5" s="16" t="inlineStr">
        <is>
          <t>Container Apps</t>
        </is>
      </c>
      <c r="C5" s="16" t="inlineStr">
        <is>
          <t>Consumption</t>
        </is>
      </c>
      <c r="D5" s="17" t="n">
        <v>40</v>
      </c>
      <c r="E5" s="21">
        <f>D5*'ASSUMPTIONS'!$B$6</f>
        <v/>
      </c>
    </row>
    <row r="6">
      <c r="A6" s="16" t="inlineStr">
        <is>
          <t>Development</t>
        </is>
      </c>
      <c r="B6" s="16" t="inlineStr">
        <is>
          <t>PostgreSQL Flexible Server</t>
        </is>
      </c>
      <c r="C6" s="16" t="inlineStr">
        <is>
          <t>GP D2ds_v5 (no HA)</t>
        </is>
      </c>
      <c r="D6" s="17" t="n">
        <v>200</v>
      </c>
      <c r="E6" s="21">
        <f>D6*'ASSUMPTIONS'!$B$6</f>
        <v/>
      </c>
    </row>
    <row r="7">
      <c r="A7" s="16" t="inlineStr">
        <is>
          <t>Development</t>
        </is>
      </c>
      <c r="B7" s="16" t="inlineStr">
        <is>
          <t>Blob Storage</t>
        </is>
      </c>
      <c r="C7" s="16" t="inlineStr">
        <is>
          <t>Hot LRS</t>
        </is>
      </c>
      <c r="D7" s="17" t="n">
        <v>10</v>
      </c>
      <c r="E7" s="21">
        <f>D7*'ASSUMPTIONS'!$B$6</f>
        <v/>
      </c>
    </row>
    <row r="8">
      <c r="A8" s="16" t="inlineStr">
        <is>
          <t>Development</t>
        </is>
      </c>
      <c r="B8" s="16" t="inlineStr">
        <is>
          <t>Service Bus</t>
        </is>
      </c>
      <c r="C8" s="16" t="inlineStr">
        <is>
          <t>Standard</t>
        </is>
      </c>
      <c r="D8" s="17" t="n">
        <v>10</v>
      </c>
      <c r="E8" s="21">
        <f>D8*'ASSUMPTIONS'!$B$6</f>
        <v/>
      </c>
    </row>
    <row r="9">
      <c r="A9" s="16" t="inlineStr">
        <is>
          <t>Development</t>
        </is>
      </c>
      <c r="B9" s="16" t="inlineStr">
        <is>
          <t>Cache for Redis</t>
        </is>
      </c>
      <c r="C9" s="16" t="inlineStr">
        <is>
          <t>Basic C0</t>
        </is>
      </c>
      <c r="D9" s="17" t="n">
        <v>12</v>
      </c>
      <c r="E9" s="21">
        <f>D9*'ASSUMPTIONS'!$B$6</f>
        <v/>
      </c>
    </row>
    <row r="10">
      <c r="A10" s="16" t="inlineStr">
        <is>
          <t>Development</t>
        </is>
      </c>
      <c r="B10" s="16" t="inlineStr">
        <is>
          <t>Key Vault</t>
        </is>
      </c>
      <c r="C10" s="16" t="inlineStr">
        <is>
          <t>Standard</t>
        </is>
      </c>
      <c r="D10" s="17" t="n">
        <v>5</v>
      </c>
      <c r="E10" s="21">
        <f>D10*'ASSUMPTIONS'!$B$6</f>
        <v/>
      </c>
    </row>
    <row r="11">
      <c r="A11" s="16" t="inlineStr">
        <is>
          <t>Development</t>
        </is>
      </c>
      <c r="B11" s="16" t="inlineStr">
        <is>
          <t>Front Door</t>
        </is>
      </c>
      <c r="C11" s="16" t="inlineStr">
        <is>
          <t>Standard</t>
        </is>
      </c>
      <c r="D11" s="17" t="n">
        <v>35</v>
      </c>
      <c r="E11" s="21">
        <f>D11*'ASSUMPTIONS'!$B$6</f>
        <v/>
      </c>
    </row>
    <row r="12">
      <c r="A12" s="16" t="inlineStr">
        <is>
          <t>Development</t>
        </is>
      </c>
      <c r="B12" s="16" t="inlineStr">
        <is>
          <t>API Management</t>
        </is>
      </c>
      <c r="C12" s="16" t="inlineStr">
        <is>
          <t>Developer</t>
        </is>
      </c>
      <c r="D12" s="17" t="n">
        <v>48</v>
      </c>
      <c r="E12" s="21">
        <f>D12*'ASSUMPTIONS'!$B$6</f>
        <v/>
      </c>
    </row>
    <row r="13">
      <c r="A13" s="16" t="inlineStr">
        <is>
          <t>Development</t>
        </is>
      </c>
      <c r="B13" s="16" t="inlineStr">
        <is>
          <t>Log Analytics / Monitor</t>
        </is>
      </c>
      <c r="C13" s="16" t="inlineStr">
        <is>
          <t>PAYG (~5GB)</t>
        </is>
      </c>
      <c r="D13" s="17" t="n">
        <v>20</v>
      </c>
      <c r="E13" s="21">
        <f>D13*'ASSUMPTIONS'!$B$6</f>
        <v/>
      </c>
    </row>
    <row r="14">
      <c r="A14" s="16" t="inlineStr">
        <is>
          <t>Development</t>
        </is>
      </c>
      <c r="B14" s="16" t="inlineStr">
        <is>
          <t>Container Registry</t>
        </is>
      </c>
      <c r="C14" s="16" t="inlineStr">
        <is>
          <t>Basic</t>
        </is>
      </c>
      <c r="D14" s="17" t="n">
        <v>5</v>
      </c>
      <c r="E14" s="21">
        <f>D14*'ASSUMPTIONS'!$B$6</f>
        <v/>
      </c>
    </row>
    <row r="15">
      <c r="A15" s="16" t="inlineStr">
        <is>
          <t>MVP / Pilot</t>
        </is>
      </c>
      <c r="B15" s="16" t="inlineStr">
        <is>
          <t>Container Apps</t>
        </is>
      </c>
      <c r="C15" s="16" t="inlineStr">
        <is>
          <t>Consumption (scaled)</t>
        </is>
      </c>
      <c r="D15" s="17" t="n">
        <v>120</v>
      </c>
      <c r="E15" s="21">
        <f>D15*'ASSUMPTIONS'!$B$6</f>
        <v/>
      </c>
    </row>
    <row r="16">
      <c r="A16" s="16" t="inlineStr">
        <is>
          <t>MVP / Pilot</t>
        </is>
      </c>
      <c r="B16" s="16" t="inlineStr">
        <is>
          <t>PostgreSQL Flexible Server</t>
        </is>
      </c>
      <c r="C16" s="16" t="inlineStr">
        <is>
          <t>GP D4ds_v5 + HA</t>
        </is>
      </c>
      <c r="D16" s="17" t="n">
        <v>500</v>
      </c>
      <c r="E16" s="21">
        <f>D16*'ASSUMPTIONS'!$B$6</f>
        <v/>
      </c>
    </row>
    <row r="17">
      <c r="A17" s="16" t="inlineStr">
        <is>
          <t>MVP / Pilot</t>
        </is>
      </c>
      <c r="B17" s="16" t="inlineStr">
        <is>
          <t>Cache for Redis</t>
        </is>
      </c>
      <c r="C17" s="16" t="inlineStr">
        <is>
          <t>Standard C1</t>
        </is>
      </c>
      <c r="D17" s="17" t="n">
        <v>52</v>
      </c>
      <c r="E17" s="21">
        <f>D17*'ASSUMPTIONS'!$B$6</f>
        <v/>
      </c>
    </row>
    <row r="18">
      <c r="A18" s="16" t="inlineStr">
        <is>
          <t>MVP / Pilot</t>
        </is>
      </c>
      <c r="B18" s="16" t="inlineStr">
        <is>
          <t>Blob Storage</t>
        </is>
      </c>
      <c r="C18" s="16" t="inlineStr">
        <is>
          <t>Hot LRS</t>
        </is>
      </c>
      <c r="D18" s="17" t="n">
        <v>40</v>
      </c>
      <c r="E18" s="21">
        <f>D18*'ASSUMPTIONS'!$B$6</f>
        <v/>
      </c>
    </row>
    <row r="19">
      <c r="A19" s="16" t="inlineStr">
        <is>
          <t>MVP / Pilot</t>
        </is>
      </c>
      <c r="B19" s="16" t="inlineStr">
        <is>
          <t>Service Bus</t>
        </is>
      </c>
      <c r="C19" s="16" t="inlineStr">
        <is>
          <t>Standard</t>
        </is>
      </c>
      <c r="D19" s="17" t="n">
        <v>30</v>
      </c>
      <c r="E19" s="21">
        <f>D19*'ASSUMPTIONS'!$B$6</f>
        <v/>
      </c>
    </row>
    <row r="20">
      <c r="A20" s="16" t="inlineStr">
        <is>
          <t>MVP / Pilot</t>
        </is>
      </c>
      <c r="B20" s="16" t="inlineStr">
        <is>
          <t>Key Vault</t>
        </is>
      </c>
      <c r="C20" s="16" t="inlineStr">
        <is>
          <t>Standard</t>
        </is>
      </c>
      <c r="D20" s="17" t="n">
        <v>15</v>
      </c>
      <c r="E20" s="21">
        <f>D20*'ASSUMPTIONS'!$B$6</f>
        <v/>
      </c>
    </row>
    <row r="21">
      <c r="A21" s="16" t="inlineStr">
        <is>
          <t>MVP / Pilot</t>
        </is>
      </c>
      <c r="B21" s="16" t="inlineStr">
        <is>
          <t>Front Door</t>
        </is>
      </c>
      <c r="C21" s="16" t="inlineStr">
        <is>
          <t>Standard + custom WAF</t>
        </is>
      </c>
      <c r="D21" s="17" t="n">
        <v>35</v>
      </c>
      <c r="E21" s="21">
        <f>D21*'ASSUMPTIONS'!$B$6</f>
        <v/>
      </c>
    </row>
    <row r="22">
      <c r="A22" s="16" t="inlineStr">
        <is>
          <t>MVP / Pilot</t>
        </is>
      </c>
      <c r="B22" s="16" t="inlineStr">
        <is>
          <t>API Management</t>
        </is>
      </c>
      <c r="C22" s="16" t="inlineStr">
        <is>
          <t>Basic v2</t>
        </is>
      </c>
      <c r="D22" s="17" t="n">
        <v>210</v>
      </c>
      <c r="E22" s="21">
        <f>D22*'ASSUMPTIONS'!$B$6</f>
        <v/>
      </c>
    </row>
    <row r="23">
      <c r="A23" s="16" t="inlineStr">
        <is>
          <t>MVP / Pilot</t>
        </is>
      </c>
      <c r="B23" s="16" t="inlineStr">
        <is>
          <t>Defender for Cloud</t>
        </is>
      </c>
      <c r="C23" s="16" t="inlineStr">
        <is>
          <t>Servers P2 (few)</t>
        </is>
      </c>
      <c r="D23" s="17" t="n">
        <v>60</v>
      </c>
      <c r="E23" s="21">
        <f>D23*'ASSUMPTIONS'!$B$6</f>
        <v/>
      </c>
    </row>
    <row r="24">
      <c r="A24" s="16" t="inlineStr">
        <is>
          <t>MVP / Pilot</t>
        </is>
      </c>
      <c r="B24" s="16" t="inlineStr">
        <is>
          <t>Sentinel + Log Analytics</t>
        </is>
      </c>
      <c r="C24" s="16" t="inlineStr">
        <is>
          <t>~30 GB/mo</t>
        </is>
      </c>
      <c r="D24" s="17" t="n">
        <v>150</v>
      </c>
      <c r="E24" s="21">
        <f>D24*'ASSUMPTIONS'!$B$6</f>
        <v/>
      </c>
    </row>
    <row r="25">
      <c r="A25" s="16" t="inlineStr">
        <is>
          <t>MVP / Pilot</t>
        </is>
      </c>
      <c r="B25" s="16" t="inlineStr">
        <is>
          <t>Azure Monitor / App Insights</t>
        </is>
      </c>
      <c r="C25" s="16" t="inlineStr">
        <is>
          <t>PAYG</t>
        </is>
      </c>
      <c r="D25" s="17" t="n">
        <v>40</v>
      </c>
      <c r="E25" s="21">
        <f>D25*'ASSUMPTIONS'!$B$6</f>
        <v/>
      </c>
    </row>
    <row r="26">
      <c r="A26" s="16" t="inlineStr">
        <is>
          <t>MVP / Pilot</t>
        </is>
      </c>
      <c r="B26" s="16" t="inlineStr">
        <is>
          <t>Container Registry</t>
        </is>
      </c>
      <c r="C26" s="16" t="inlineStr">
        <is>
          <t>Standard</t>
        </is>
      </c>
      <c r="D26" s="17" t="n">
        <v>20</v>
      </c>
      <c r="E26" s="21">
        <f>D26*'ASSUMPTIONS'!$B$6</f>
        <v/>
      </c>
    </row>
    <row r="27">
      <c r="A27" s="16" t="inlineStr">
        <is>
          <t>MVP / Pilot</t>
        </is>
      </c>
      <c r="B27" s="16" t="inlineStr">
        <is>
          <t>Bandwidth / Egress</t>
        </is>
      </c>
      <c r="C27" s="16" t="inlineStr">
        <is>
          <t>~300 GB</t>
        </is>
      </c>
      <c r="D27" s="17" t="n">
        <v>30</v>
      </c>
      <c r="E27" s="21">
        <f>D27*'ASSUMPTIONS'!$B$6</f>
        <v/>
      </c>
    </row>
    <row r="28">
      <c r="A28" s="16" t="inlineStr">
        <is>
          <t>MVP / Pilot</t>
        </is>
      </c>
      <c r="B28" s="16" t="inlineStr">
        <is>
          <t>Azure AI Search</t>
        </is>
      </c>
      <c r="C28" s="16" t="inlineStr">
        <is>
          <t>Basic</t>
        </is>
      </c>
      <c r="D28" s="17" t="n">
        <v>75</v>
      </c>
      <c r="E28" s="21">
        <f>D28*'ASSUMPTIONS'!$B$6</f>
        <v/>
      </c>
    </row>
    <row r="29">
      <c r="A29" s="16" t="inlineStr">
        <is>
          <t>Medium Production</t>
        </is>
      </c>
      <c r="B29" s="16" t="inlineStr">
        <is>
          <t>Container Apps</t>
        </is>
      </c>
      <c r="C29" s="16" t="inlineStr">
        <is>
          <t>Consumption (autoscale)</t>
        </is>
      </c>
      <c r="D29" s="17" t="n">
        <v>600</v>
      </c>
      <c r="E29" s="21">
        <f>D29*'ASSUMPTIONS'!$B$6</f>
        <v/>
      </c>
    </row>
    <row r="30">
      <c r="A30" s="16" t="inlineStr">
        <is>
          <t>Medium Production</t>
        </is>
      </c>
      <c r="B30" s="16" t="inlineStr">
        <is>
          <t>PostgreSQL Flexible Server</t>
        </is>
      </c>
      <c r="C30" s="16" t="inlineStr">
        <is>
          <t>GP large + HA + replica</t>
        </is>
      </c>
      <c r="D30" s="17" t="n">
        <v>1400</v>
      </c>
      <c r="E30" s="21">
        <f>D30*'ASSUMPTIONS'!$B$6</f>
        <v/>
      </c>
    </row>
    <row r="31">
      <c r="A31" s="16" t="inlineStr">
        <is>
          <t>Medium Production</t>
        </is>
      </c>
      <c r="B31" s="16" t="inlineStr">
        <is>
          <t>Cache for Redis</t>
        </is>
      </c>
      <c r="C31" s="16" t="inlineStr">
        <is>
          <t>Standard C2/C3</t>
        </is>
      </c>
      <c r="D31" s="17" t="n">
        <v>250</v>
      </c>
      <c r="E31" s="21">
        <f>D31*'ASSUMPTIONS'!$B$6</f>
        <v/>
      </c>
    </row>
    <row r="32">
      <c r="A32" s="16" t="inlineStr">
        <is>
          <t>Medium Production</t>
        </is>
      </c>
      <c r="B32" s="16" t="inlineStr">
        <is>
          <t>Blob Storage</t>
        </is>
      </c>
      <c r="C32" s="16" t="inlineStr">
        <is>
          <t>Hot + lifecycle</t>
        </is>
      </c>
      <c r="D32" s="17" t="n">
        <v>200</v>
      </c>
      <c r="E32" s="21">
        <f>D32*'ASSUMPTIONS'!$B$6</f>
        <v/>
      </c>
    </row>
    <row r="33">
      <c r="A33" s="16" t="inlineStr">
        <is>
          <t>Medium Production</t>
        </is>
      </c>
      <c r="B33" s="16" t="inlineStr">
        <is>
          <t>Service Bus</t>
        </is>
      </c>
      <c r="C33" s="16" t="inlineStr">
        <is>
          <t>Premium 1 MU</t>
        </is>
      </c>
      <c r="D33" s="17" t="n">
        <v>700</v>
      </c>
      <c r="E33" s="21">
        <f>D33*'ASSUMPTIONS'!$B$6</f>
        <v/>
      </c>
    </row>
    <row r="34">
      <c r="A34" s="16" t="inlineStr">
        <is>
          <t>Medium Production</t>
        </is>
      </c>
      <c r="B34" s="16" t="inlineStr">
        <is>
          <t>Key Vault</t>
        </is>
      </c>
      <c r="C34" s="16" t="inlineStr">
        <is>
          <t>Premium (HSM-keys)</t>
        </is>
      </c>
      <c r="D34" s="17" t="n">
        <v>50</v>
      </c>
      <c r="E34" s="21">
        <f>D34*'ASSUMPTIONS'!$B$6</f>
        <v/>
      </c>
    </row>
    <row r="35">
      <c r="A35" s="16" t="inlineStr">
        <is>
          <t>Medium Production</t>
        </is>
      </c>
      <c r="B35" s="16" t="inlineStr">
        <is>
          <t>Front Door</t>
        </is>
      </c>
      <c r="C35" s="16" t="inlineStr">
        <is>
          <t>Premium (WAF+PL) + traffic</t>
        </is>
      </c>
      <c r="D35" s="17" t="n">
        <v>530</v>
      </c>
      <c r="E35" s="21">
        <f>D35*'ASSUMPTIONS'!$B$6</f>
        <v/>
      </c>
    </row>
    <row r="36">
      <c r="A36" s="16" t="inlineStr">
        <is>
          <t>Medium Production</t>
        </is>
      </c>
      <c r="B36" s="16" t="inlineStr">
        <is>
          <t>API Management</t>
        </is>
      </c>
      <c r="C36" s="16" t="inlineStr">
        <is>
          <t>Standard v2</t>
        </is>
      </c>
      <c r="D36" s="17" t="n">
        <v>734</v>
      </c>
      <c r="E36" s="21">
        <f>D36*'ASSUMPTIONS'!$B$6</f>
        <v/>
      </c>
    </row>
    <row r="37">
      <c r="A37" s="16" t="inlineStr">
        <is>
          <t>Medium Production</t>
        </is>
      </c>
      <c r="B37" s="16" t="inlineStr">
        <is>
          <t>Defender for Cloud</t>
        </is>
      </c>
      <c r="C37" s="16" t="inlineStr">
        <is>
          <t>Servers/DB/Containers</t>
        </is>
      </c>
      <c r="D37" s="17" t="n">
        <v>300</v>
      </c>
      <c r="E37" s="21">
        <f>D37*'ASSUMPTIONS'!$B$6</f>
        <v/>
      </c>
    </row>
    <row r="38">
      <c r="A38" s="16" t="inlineStr">
        <is>
          <t>Medium Production</t>
        </is>
      </c>
      <c r="B38" s="16" t="inlineStr">
        <is>
          <t>Sentinel + Log Analytics</t>
        </is>
      </c>
      <c r="C38" s="16" t="inlineStr">
        <is>
          <t>~150 GB/mo</t>
        </is>
      </c>
      <c r="D38" s="17" t="n">
        <v>700</v>
      </c>
      <c r="E38" s="21">
        <f>D38*'ASSUMPTIONS'!$B$6</f>
        <v/>
      </c>
    </row>
    <row r="39">
      <c r="A39" s="16" t="inlineStr">
        <is>
          <t>Medium Production</t>
        </is>
      </c>
      <c r="B39" s="16" t="inlineStr">
        <is>
          <t>Azure Monitor / App Insights</t>
        </is>
      </c>
      <c r="C39" s="16" t="inlineStr">
        <is>
          <t>PAYG</t>
        </is>
      </c>
      <c r="D39" s="17" t="n">
        <v>150</v>
      </c>
      <c r="E39" s="21">
        <f>D39*'ASSUMPTIONS'!$B$6</f>
        <v/>
      </c>
    </row>
    <row r="40">
      <c r="A40" s="16" t="inlineStr">
        <is>
          <t>Medium Production</t>
        </is>
      </c>
      <c r="B40" s="16" t="inlineStr">
        <is>
          <t>Azure Firewall</t>
        </is>
      </c>
      <c r="C40" s="16" t="inlineStr">
        <is>
          <t>Standard</t>
        </is>
      </c>
      <c r="D40" s="17" t="n">
        <v>912</v>
      </c>
      <c r="E40" s="21">
        <f>D40*'ASSUMPTIONS'!$B$6</f>
        <v/>
      </c>
    </row>
    <row r="41">
      <c r="A41" s="16" t="inlineStr">
        <is>
          <t>Medium Production</t>
        </is>
      </c>
      <c r="B41" s="16" t="inlineStr">
        <is>
          <t>Azure Bastion</t>
        </is>
      </c>
      <c r="C41" s="16" t="inlineStr">
        <is>
          <t>Standard</t>
        </is>
      </c>
      <c r="D41" s="17" t="n">
        <v>150</v>
      </c>
      <c r="E41" s="21">
        <f>D41*'ASSUMPTIONS'!$B$6</f>
        <v/>
      </c>
    </row>
    <row r="42">
      <c r="A42" s="16" t="inlineStr">
        <is>
          <t>Medium Production</t>
        </is>
      </c>
      <c r="B42" s="16" t="inlineStr">
        <is>
          <t>Container Registry</t>
        </is>
      </c>
      <c r="C42" s="16" t="inlineStr">
        <is>
          <t>Premium</t>
        </is>
      </c>
      <c r="D42" s="17" t="n">
        <v>50</v>
      </c>
      <c r="E42" s="21">
        <f>D42*'ASSUMPTIONS'!$B$6</f>
        <v/>
      </c>
    </row>
    <row r="43">
      <c r="A43" s="16" t="inlineStr">
        <is>
          <t>Medium Production</t>
        </is>
      </c>
      <c r="B43" s="16" t="inlineStr">
        <is>
          <t>Bandwidth / Egress</t>
        </is>
      </c>
      <c r="C43" s="16" t="inlineStr">
        <is>
          <t>~2 TB</t>
        </is>
      </c>
      <c r="D43" s="17" t="n">
        <v>200</v>
      </c>
      <c r="E43" s="21">
        <f>D43*'ASSUMPTIONS'!$B$6</f>
        <v/>
      </c>
    </row>
    <row r="44">
      <c r="A44" s="16" t="inlineStr">
        <is>
          <t>Medium Production</t>
        </is>
      </c>
      <c r="B44" s="16" t="inlineStr">
        <is>
          <t>Azure AI Search</t>
        </is>
      </c>
      <c r="C44" s="16" t="inlineStr">
        <is>
          <t>S1</t>
        </is>
      </c>
      <c r="D44" s="17" t="n">
        <v>250</v>
      </c>
      <c r="E44" s="21">
        <f>D44*'ASSUMPTIONS'!$B$6</f>
        <v/>
      </c>
    </row>
    <row r="45">
      <c r="A45" s="16" t="inlineStr">
        <is>
          <t>Large Production</t>
        </is>
      </c>
      <c r="B45" s="16" t="inlineStr">
        <is>
          <t>Compute (Container Apps / AKS)</t>
        </is>
      </c>
      <c r="C45" s="16" t="inlineStr">
        <is>
          <t>Enterprise autoscale</t>
        </is>
      </c>
      <c r="D45" s="17" t="n">
        <v>3000</v>
      </c>
      <c r="E45" s="21">
        <f>D45*'ASSUMPTIONS'!$B$6</f>
        <v/>
      </c>
    </row>
    <row r="46">
      <c r="A46" s="16" t="inlineStr">
        <is>
          <t>Large Production</t>
        </is>
      </c>
      <c r="B46" s="16" t="inlineStr">
        <is>
          <t>PostgreSQL Flexible Server</t>
        </is>
      </c>
      <c r="C46" s="16" t="inlineStr">
        <is>
          <t>Large + HA + replicas + geo</t>
        </is>
      </c>
      <c r="D46" s="17" t="n">
        <v>6000</v>
      </c>
      <c r="E46" s="21">
        <f>D46*'ASSUMPTIONS'!$B$6</f>
        <v/>
      </c>
    </row>
    <row r="47">
      <c r="A47" s="16" t="inlineStr">
        <is>
          <t>Large Production</t>
        </is>
      </c>
      <c r="B47" s="16" t="inlineStr">
        <is>
          <t>Cache for Redis</t>
        </is>
      </c>
      <c r="C47" s="16" t="inlineStr">
        <is>
          <t>Enterprise / Managed Redis</t>
        </is>
      </c>
      <c r="D47" s="17" t="n">
        <v>1500</v>
      </c>
      <c r="E47" s="21">
        <f>D47*'ASSUMPTIONS'!$B$6</f>
        <v/>
      </c>
    </row>
    <row r="48">
      <c r="A48" s="16" t="inlineStr">
        <is>
          <t>Large Production</t>
        </is>
      </c>
      <c r="B48" s="16" t="inlineStr">
        <is>
          <t>Blob Storage</t>
        </is>
      </c>
      <c r="C48" s="16" t="inlineStr">
        <is>
          <t>Hot + GRS + geo</t>
        </is>
      </c>
      <c r="D48" s="17" t="n">
        <v>1200</v>
      </c>
      <c r="E48" s="21">
        <f>D48*'ASSUMPTIONS'!$B$6</f>
        <v/>
      </c>
    </row>
    <row r="49">
      <c r="A49" s="16" t="inlineStr">
        <is>
          <t>Large Production</t>
        </is>
      </c>
      <c r="B49" s="16" t="inlineStr">
        <is>
          <t>Service Bus</t>
        </is>
      </c>
      <c r="C49" s="16" t="inlineStr">
        <is>
          <t>Premium 4 MU</t>
        </is>
      </c>
      <c r="D49" s="17" t="n">
        <v>2700</v>
      </c>
      <c r="E49" s="21">
        <f>D49*'ASSUMPTIONS'!$B$6</f>
        <v/>
      </c>
    </row>
    <row r="50">
      <c r="A50" s="16" t="inlineStr">
        <is>
          <t>Large Production</t>
        </is>
      </c>
      <c r="B50" s="16" t="inlineStr">
        <is>
          <t>Key Vault + Managed HSM</t>
        </is>
      </c>
      <c r="C50" s="16" t="inlineStr">
        <is>
          <t>Premium + HSM pool</t>
        </is>
      </c>
      <c r="D50" s="17" t="n">
        <v>2200</v>
      </c>
      <c r="E50" s="21">
        <f>D50*'ASSUMPTIONS'!$B$6</f>
        <v/>
      </c>
    </row>
    <row r="51">
      <c r="A51" s="16" t="inlineStr">
        <is>
          <t>Large Production</t>
        </is>
      </c>
      <c r="B51" s="16" t="inlineStr">
        <is>
          <t>Front Door</t>
        </is>
      </c>
      <c r="C51" s="16" t="inlineStr">
        <is>
          <t>Premium + high traffic</t>
        </is>
      </c>
      <c r="D51" s="17" t="n">
        <v>2000</v>
      </c>
      <c r="E51" s="21">
        <f>D51*'ASSUMPTIONS'!$B$6</f>
        <v/>
      </c>
    </row>
    <row r="52">
      <c r="A52" s="16" t="inlineStr">
        <is>
          <t>Large Production</t>
        </is>
      </c>
      <c r="B52" s="16" t="inlineStr">
        <is>
          <t>API Management</t>
        </is>
      </c>
      <c r="C52" s="16" t="inlineStr">
        <is>
          <t>Premium (multi-region)</t>
        </is>
      </c>
      <c r="D52" s="17" t="n">
        <v>6000</v>
      </c>
      <c r="E52" s="21">
        <f>D52*'ASSUMPTIONS'!$B$6</f>
        <v/>
      </c>
    </row>
    <row r="53">
      <c r="A53" s="16" t="inlineStr">
        <is>
          <t>Large Production</t>
        </is>
      </c>
      <c r="B53" s="16" t="inlineStr">
        <is>
          <t>Defender for Cloud</t>
        </is>
      </c>
      <c r="C53" s="16" t="inlineStr">
        <is>
          <t>Broad coverage</t>
        </is>
      </c>
      <c r="D53" s="17" t="n">
        <v>1500</v>
      </c>
      <c r="E53" s="21">
        <f>D53*'ASSUMPTIONS'!$B$6</f>
        <v/>
      </c>
    </row>
    <row r="54">
      <c r="A54" s="16" t="inlineStr">
        <is>
          <t>Large Production</t>
        </is>
      </c>
      <c r="B54" s="16" t="inlineStr">
        <is>
          <t>Sentinel + Log Analytics</t>
        </is>
      </c>
      <c r="C54" s="16" t="inlineStr">
        <is>
          <t>~500 GB/mo</t>
        </is>
      </c>
      <c r="D54" s="17" t="n">
        <v>2500</v>
      </c>
      <c r="E54" s="21">
        <f>D54*'ASSUMPTIONS'!$B$6</f>
        <v/>
      </c>
    </row>
    <row r="55">
      <c r="A55" s="16" t="inlineStr">
        <is>
          <t>Large Production</t>
        </is>
      </c>
      <c r="B55" s="16" t="inlineStr">
        <is>
          <t>Azure Monitor / App Insights</t>
        </is>
      </c>
      <c r="C55" s="16" t="inlineStr">
        <is>
          <t>PAYG</t>
        </is>
      </c>
      <c r="D55" s="17" t="n">
        <v>600</v>
      </c>
      <c r="E55" s="21">
        <f>D55*'ASSUMPTIONS'!$B$6</f>
        <v/>
      </c>
    </row>
    <row r="56">
      <c r="A56" s="16" t="inlineStr">
        <is>
          <t>Large Production</t>
        </is>
      </c>
      <c r="B56" s="16" t="inlineStr">
        <is>
          <t>Azure Firewall</t>
        </is>
      </c>
      <c r="C56" s="16" t="inlineStr">
        <is>
          <t>Premium + DR region</t>
        </is>
      </c>
      <c r="D56" s="17" t="n">
        <v>2600</v>
      </c>
      <c r="E56" s="21">
        <f>D56*'ASSUMPTIONS'!$B$6</f>
        <v/>
      </c>
    </row>
    <row r="57">
      <c r="A57" s="16" t="inlineStr">
        <is>
          <t>Large Production</t>
        </is>
      </c>
      <c r="B57" s="16" t="inlineStr">
        <is>
          <t>Azure Bastion</t>
        </is>
      </c>
      <c r="C57" s="16" t="inlineStr">
        <is>
          <t>Standard (multi)</t>
        </is>
      </c>
      <c r="D57" s="17" t="n">
        <v>300</v>
      </c>
      <c r="E57" s="21">
        <f>D57*'ASSUMPTIONS'!$B$6</f>
        <v/>
      </c>
    </row>
    <row r="58">
      <c r="A58" s="16" t="inlineStr">
        <is>
          <t>Large Production</t>
        </is>
      </c>
      <c r="B58" s="16" t="inlineStr">
        <is>
          <t>Container Registry</t>
        </is>
      </c>
      <c r="C58" s="16" t="inlineStr">
        <is>
          <t>Premium geo-replicated</t>
        </is>
      </c>
      <c r="D58" s="17" t="n">
        <v>150</v>
      </c>
      <c r="E58" s="21">
        <f>D58*'ASSUMPTIONS'!$B$6</f>
        <v/>
      </c>
    </row>
    <row r="59">
      <c r="A59" s="16" t="inlineStr">
        <is>
          <t>Large Production</t>
        </is>
      </c>
      <c r="B59" s="16" t="inlineStr">
        <is>
          <t>Bandwidth / Egress</t>
        </is>
      </c>
      <c r="C59" s="16" t="inlineStr">
        <is>
          <t>~15 TB</t>
        </is>
      </c>
      <c r="D59" s="17" t="n">
        <v>1500</v>
      </c>
      <c r="E59" s="21">
        <f>D59*'ASSUMPTIONS'!$B$6</f>
        <v/>
      </c>
    </row>
    <row r="60">
      <c r="A60" s="16" t="inlineStr">
        <is>
          <t>Large Production</t>
        </is>
      </c>
      <c r="B60" s="16" t="inlineStr">
        <is>
          <t>Azure AI Search</t>
        </is>
      </c>
      <c r="C60" s="16" t="inlineStr">
        <is>
          <t>S2/S3</t>
        </is>
      </c>
      <c r="D60" s="17" t="n">
        <v>2000</v>
      </c>
      <c r="E60" s="21">
        <f>D60*'ASSUMPTIONS'!$B$6</f>
        <v/>
      </c>
    </row>
    <row r="61">
      <c r="A61" s="16" t="inlineStr">
        <is>
          <t>Large Production</t>
        </is>
      </c>
      <c r="B61" s="16" t="inlineStr">
        <is>
          <t>DDoS Network Protection</t>
        </is>
      </c>
      <c r="C61" s="16" t="inlineStr">
        <is>
          <t>Standard</t>
        </is>
      </c>
      <c r="D61" s="17" t="n">
        <v>2944</v>
      </c>
      <c r="E61" s="21">
        <f>D61*'ASSUMPTIONS'!$B$6</f>
        <v/>
      </c>
    </row>
  </sheetData>
  <autoFilter ref="A4:E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Claude Max cost</t>
        </is>
      </c>
    </row>
    <row r="2">
      <c r="A2" s="2" t="inlineStr">
        <is>
          <t>Baseline: 5 users × Max 20x. NOT one subscription per AI agent.</t>
        </is>
      </c>
    </row>
    <row r="3">
      <c r="A3" s="3" t="inlineStr">
        <is>
          <t>Claude Code is included in Max (no separate subscription). Production API tokens are billed separately (see PRODUCTION AI COST).</t>
        </is>
      </c>
    </row>
    <row r="5" ht="28" customHeight="1">
      <c r="A5" s="14" t="inlineStr">
        <is>
          <t>Users</t>
        </is>
      </c>
      <c r="B5" s="14" t="inlineStr">
        <is>
          <t>Plan</t>
        </is>
      </c>
      <c r="C5" s="14" t="inlineStr">
        <is>
          <t>$/user/mo</t>
        </is>
      </c>
      <c r="D5" s="14" t="inlineStr">
        <is>
          <t>Monthly USD</t>
        </is>
      </c>
      <c r="E5" s="14" t="inlineStr">
        <is>
          <t>Annual USD</t>
        </is>
      </c>
      <c r="F5" s="14" t="inlineStr">
        <is>
          <t>12-mo USD</t>
        </is>
      </c>
      <c r="G5" s="14" t="inlineStr">
        <is>
          <t>24-mo USD</t>
        </is>
      </c>
    </row>
    <row r="6">
      <c r="A6" s="16" t="n">
        <v>3</v>
      </c>
      <c r="B6" s="16" t="inlineStr">
        <is>
          <t>Max 5x</t>
        </is>
      </c>
      <c r="C6" s="21" t="n">
        <v>100</v>
      </c>
      <c r="D6" s="21">
        <f>A6*C6</f>
        <v/>
      </c>
      <c r="E6" s="21">
        <f>D6*12</f>
        <v/>
      </c>
      <c r="F6" s="21">
        <f>D6*12</f>
        <v/>
      </c>
      <c r="G6" s="21">
        <f>D6*24</f>
        <v/>
      </c>
    </row>
    <row r="7">
      <c r="A7" s="16" t="n">
        <v>3</v>
      </c>
      <c r="B7" s="16" t="inlineStr">
        <is>
          <t>Max 20x</t>
        </is>
      </c>
      <c r="C7" s="21" t="n">
        <v>200</v>
      </c>
      <c r="D7" s="21">
        <f>A7*C7</f>
        <v/>
      </c>
      <c r="E7" s="21">
        <f>D7*12</f>
        <v/>
      </c>
      <c r="F7" s="21">
        <f>D7*12</f>
        <v/>
      </c>
      <c r="G7" s="21">
        <f>D7*24</f>
        <v/>
      </c>
    </row>
    <row r="8">
      <c r="A8" s="16" t="n">
        <v>5</v>
      </c>
      <c r="B8" s="16" t="inlineStr">
        <is>
          <t>Max 5x</t>
        </is>
      </c>
      <c r="C8" s="21" t="n">
        <v>100</v>
      </c>
      <c r="D8" s="21">
        <f>A8*C8</f>
        <v/>
      </c>
      <c r="E8" s="21">
        <f>D8*12</f>
        <v/>
      </c>
      <c r="F8" s="21">
        <f>D8*12</f>
        <v/>
      </c>
      <c r="G8" s="21">
        <f>D8*24</f>
        <v/>
      </c>
    </row>
    <row r="9">
      <c r="A9" s="16" t="n">
        <v>5</v>
      </c>
      <c r="B9" s="16" t="inlineStr">
        <is>
          <t>Max 20x</t>
        </is>
      </c>
      <c r="C9" s="21" t="n">
        <v>200</v>
      </c>
      <c r="D9" s="21">
        <f>A9*C9</f>
        <v/>
      </c>
      <c r="E9" s="21">
        <f>D9*12</f>
        <v/>
      </c>
      <c r="F9" s="21">
        <f>D9*12</f>
        <v/>
      </c>
      <c r="G9" s="21">
        <f>D9*24</f>
        <v/>
      </c>
    </row>
    <row r="10">
      <c r="A10" s="16" t="n">
        <v>10</v>
      </c>
      <c r="B10" s="16" t="inlineStr">
        <is>
          <t>Max 5x</t>
        </is>
      </c>
      <c r="C10" s="21" t="n">
        <v>100</v>
      </c>
      <c r="D10" s="21">
        <f>A10*C10</f>
        <v/>
      </c>
      <c r="E10" s="21">
        <f>D10*12</f>
        <v/>
      </c>
      <c r="F10" s="21">
        <f>D10*12</f>
        <v/>
      </c>
      <c r="G10" s="21">
        <f>D10*24</f>
        <v/>
      </c>
    </row>
    <row r="11">
      <c r="A11" s="16" t="n">
        <v>10</v>
      </c>
      <c r="B11" s="16" t="inlineStr">
        <is>
          <t>Max 20x</t>
        </is>
      </c>
      <c r="C11" s="21" t="n">
        <v>200</v>
      </c>
      <c r="D11" s="21">
        <f>A11*C11</f>
        <v/>
      </c>
      <c r="E11" s="21">
        <f>D11*12</f>
        <v/>
      </c>
      <c r="F11" s="21">
        <f>D11*12</f>
        <v/>
      </c>
      <c r="G11" s="21">
        <f>D11*24</f>
        <v/>
      </c>
    </row>
    <row r="12">
      <c r="A12" s="16" t="n">
        <v>15</v>
      </c>
      <c r="B12" s="16" t="inlineStr">
        <is>
          <t>Max 5x</t>
        </is>
      </c>
      <c r="C12" s="21" t="n">
        <v>100</v>
      </c>
      <c r="D12" s="21">
        <f>A12*C12</f>
        <v/>
      </c>
      <c r="E12" s="21">
        <f>D12*12</f>
        <v/>
      </c>
      <c r="F12" s="21">
        <f>D12*12</f>
        <v/>
      </c>
      <c r="G12" s="21">
        <f>D12*24</f>
        <v/>
      </c>
    </row>
    <row r="13">
      <c r="A13" s="16" t="n">
        <v>15</v>
      </c>
      <c r="B13" s="16" t="inlineStr">
        <is>
          <t>Max 20x</t>
        </is>
      </c>
      <c r="C13" s="21" t="n">
        <v>200</v>
      </c>
      <c r="D13" s="21">
        <f>A13*C13</f>
        <v/>
      </c>
      <c r="E13" s="21">
        <f>D13*12</f>
        <v/>
      </c>
      <c r="F13" s="21">
        <f>D13*12</f>
        <v/>
      </c>
      <c r="G13" s="21">
        <f>D13*24</f>
        <v/>
      </c>
    </row>
    <row r="15">
      <c r="A15" s="19" t="inlineStr">
        <is>
          <t>Baseline (from ASSUMPTIONS)</t>
        </is>
      </c>
      <c r="D15" s="21">
        <f>'ASSUMPTIONS'!$B$16*'ASSUMPTIONS'!$B$15</f>
        <v/>
      </c>
    </row>
  </sheetData>
  <autoFilter ref="A5:G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ChatGPT cost</t>
        </is>
      </c>
    </row>
    <row r="2">
      <c r="A2" s="2" t="inlineStr">
        <is>
          <t>ChatGPT Business (formerly Team). Enterprise is quote-only.</t>
        </is>
      </c>
    </row>
    <row r="3">
      <c r="A3" s="3" t="inlineStr">
        <is>
          <t>A ChatGPT subscription is NOT production API credits (see PRODUCTION AI COST).</t>
        </is>
      </c>
    </row>
    <row r="5" ht="28" customHeight="1">
      <c r="A5" s="14" t="inlineStr">
        <is>
          <t>Users</t>
        </is>
      </c>
      <c r="B5" s="14" t="inlineStr">
        <is>
          <t>Plan</t>
        </is>
      </c>
      <c r="C5" s="14" t="inlineStr">
        <is>
          <t>$/user/mo</t>
        </is>
      </c>
      <c r="D5" s="14" t="inlineStr">
        <is>
          <t>Monthly USD</t>
        </is>
      </c>
      <c r="E5" s="14" t="inlineStr">
        <is>
          <t>Annual USD</t>
        </is>
      </c>
      <c r="F5" s="14" t="inlineStr">
        <is>
          <t>12-mo USD</t>
        </is>
      </c>
      <c r="G5" s="14" t="inlineStr">
        <is>
          <t>24-mo USD</t>
        </is>
      </c>
    </row>
    <row r="6">
      <c r="A6" s="16" t="n">
        <v>5</v>
      </c>
      <c r="B6" s="16" t="inlineStr">
        <is>
          <t>Business Standard</t>
        </is>
      </c>
      <c r="C6" s="21" t="n">
        <v>20</v>
      </c>
      <c r="D6" s="21">
        <f>A6*C6</f>
        <v/>
      </c>
      <c r="E6" s="21">
        <f>D6*12</f>
        <v/>
      </c>
      <c r="F6" s="21">
        <f>D6*12</f>
        <v/>
      </c>
      <c r="G6" s="21">
        <f>D6*24</f>
        <v/>
      </c>
    </row>
    <row r="7">
      <c r="A7" s="16" t="n">
        <v>10</v>
      </c>
      <c r="B7" s="16" t="inlineStr">
        <is>
          <t>Business Standard</t>
        </is>
      </c>
      <c r="C7" s="21" t="n">
        <v>20</v>
      </c>
      <c r="D7" s="21">
        <f>A7*C7</f>
        <v/>
      </c>
      <c r="E7" s="21">
        <f>D7*12</f>
        <v/>
      </c>
      <c r="F7" s="21">
        <f>D7*12</f>
        <v/>
      </c>
      <c r="G7" s="21">
        <f>D7*24</f>
        <v/>
      </c>
    </row>
    <row r="8">
      <c r="A8" s="16" t="n">
        <v>15</v>
      </c>
      <c r="B8" s="16" t="inlineStr">
        <is>
          <t>Business Standard</t>
        </is>
      </c>
      <c r="C8" s="21" t="n">
        <v>20</v>
      </c>
      <c r="D8" s="21">
        <f>A8*C8</f>
        <v/>
      </c>
      <c r="E8" s="21">
        <f>D8*12</f>
        <v/>
      </c>
      <c r="F8" s="21">
        <f>D8*12</f>
        <v/>
      </c>
      <c r="G8" s="21">
        <f>D8*24</f>
        <v/>
      </c>
    </row>
    <row r="9">
      <c r="A9" s="16" t="n">
        <v>20</v>
      </c>
      <c r="B9" s="16" t="inlineStr">
        <is>
          <t>Business Standard</t>
        </is>
      </c>
      <c r="C9" s="21" t="n">
        <v>20</v>
      </c>
      <c r="D9" s="21">
        <f>A9*C9</f>
        <v/>
      </c>
      <c r="E9" s="21">
        <f>D9*12</f>
        <v/>
      </c>
      <c r="F9" s="21">
        <f>D9*12</f>
        <v/>
      </c>
      <c r="G9" s="21">
        <f>D9*24</f>
        <v/>
      </c>
    </row>
    <row r="11">
      <c r="A11" s="19" t="inlineStr">
        <is>
          <t>ChatGPT Enterprise</t>
        </is>
      </c>
      <c r="B11" t="inlineStr">
        <is>
          <t>Not publicly disclosed (quote-only)</t>
        </is>
      </c>
    </row>
  </sheetData>
  <autoFilter ref="A5:G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  <col width="10" customWidth="1" min="5" max="5"/>
    <col width="20" customWidth="1" min="6" max="6"/>
    <col width="12" customWidth="1" min="7" max="7"/>
    <col width="16" customWidth="1" min="8" max="8"/>
    <col width="16" customWidth="1" min="9" max="9"/>
  </cols>
  <sheetData>
    <row r="1">
      <c r="A1" s="1" t="inlineStr">
        <is>
          <t>Production AI runtime cost</t>
        </is>
      </c>
    </row>
    <row r="2">
      <c r="A2" s="2" t="inlineStr">
        <is>
          <t>Per-token / per-minute usage — separate from dev-tool subscriptions.</t>
        </is>
      </c>
    </row>
    <row r="3">
      <c r="A3" s="3" t="inlineStr">
        <is>
          <t>AI API token prices are 2026 MODEL ASSUMPTIONS (verify live). Azure OpenAI is the PHI path (covered by Microsoft BAA).</t>
        </is>
      </c>
    </row>
    <row r="5" ht="28" customHeight="1">
      <c r="A5" s="14" t="inlineStr">
        <is>
          <t>Scenario</t>
        </is>
      </c>
      <c r="B5" s="14" t="inlineStr">
        <is>
          <t>Claims/mo</t>
        </is>
      </c>
      <c r="C5" s="14" t="inlineStr">
        <is>
          <t>AI/claim</t>
        </is>
      </c>
      <c r="D5" s="14" t="inlineStr">
        <is>
          <t>Voice/claim</t>
        </is>
      </c>
      <c r="E5" s="14" t="inlineStr">
        <is>
          <t>Doc/claim</t>
        </is>
      </c>
      <c r="F5" s="14" t="inlineStr">
        <is>
          <t>AI+Voice+Doc /mo USD</t>
        </is>
      </c>
      <c r="G5" s="14" t="inlineStr">
        <is>
          <t>AI Search /mo</t>
        </is>
      </c>
      <c r="H5" s="14" t="inlineStr">
        <is>
          <t>Total /mo USD</t>
        </is>
      </c>
      <c r="I5" s="14" t="inlineStr">
        <is>
          <t>Total /mo INR</t>
        </is>
      </c>
    </row>
    <row r="6">
      <c r="A6" s="16" t="inlineStr">
        <is>
          <t>MVP / Pilot</t>
        </is>
      </c>
      <c r="B6" s="21">
        <f>'ASSUMPTIONS'!$B$8</f>
        <v/>
      </c>
      <c r="C6" s="22">
        <f>'ASSUMPTIONS'!$B$11</f>
        <v/>
      </c>
      <c r="D6" s="22">
        <f>'ASSUMPTIONS'!$B$12</f>
        <v/>
      </c>
      <c r="E6" s="22">
        <f>'ASSUMPTIONS'!$B$13</f>
        <v/>
      </c>
      <c r="F6" s="21">
        <f>B6*(C6+D6+E6)</f>
        <v/>
      </c>
      <c r="G6" s="21" t="n">
        <v>75</v>
      </c>
      <c r="H6" s="21">
        <f>F6+G6</f>
        <v/>
      </c>
      <c r="I6" s="21">
        <f>H6*'ASSUMPTIONS'!$B$6</f>
        <v/>
      </c>
    </row>
    <row r="7">
      <c r="A7" s="16" t="inlineStr">
        <is>
          <t>Medium Production</t>
        </is>
      </c>
      <c r="B7" s="21">
        <f>'ASSUMPTIONS'!$B$9</f>
        <v/>
      </c>
      <c r="C7" s="22">
        <f>'ASSUMPTIONS'!$B$11</f>
        <v/>
      </c>
      <c r="D7" s="22">
        <f>'ASSUMPTIONS'!$B$12</f>
        <v/>
      </c>
      <c r="E7" s="22">
        <f>'ASSUMPTIONS'!$B$13</f>
        <v/>
      </c>
      <c r="F7" s="21">
        <f>B7*(C7+D7+E7)</f>
        <v/>
      </c>
      <c r="G7" s="21" t="n">
        <v>250</v>
      </c>
      <c r="H7" s="21">
        <f>F7+G7</f>
        <v/>
      </c>
      <c r="I7" s="21">
        <f>H7*'ASSUMPTIONS'!$B$6</f>
        <v/>
      </c>
    </row>
    <row r="8">
      <c r="A8" s="16" t="inlineStr">
        <is>
          <t>Large Production</t>
        </is>
      </c>
      <c r="B8" s="21">
        <f>'ASSUMPTIONS'!$B$10</f>
        <v/>
      </c>
      <c r="C8" s="22">
        <f>'ASSUMPTIONS'!$B$11</f>
        <v/>
      </c>
      <c r="D8" s="22">
        <f>'ASSUMPTIONS'!$B$12</f>
        <v/>
      </c>
      <c r="E8" s="22">
        <f>'ASSUMPTIONS'!$B$13</f>
        <v/>
      </c>
      <c r="F8" s="21">
        <f>B8*(C8+D8+E8)</f>
        <v/>
      </c>
      <c r="G8" s="21" t="n">
        <v>1000</v>
      </c>
      <c r="H8" s="21">
        <f>F8+G8</f>
        <v/>
      </c>
      <c r="I8" s="21">
        <f>H8*'ASSUMPTIONS'!$B$6</f>
        <v/>
      </c>
    </row>
    <row r="10">
      <c r="A10" s="2" t="inlineStr">
        <is>
          <t>AI token prices ($/1M) — MODEL ASSUMPTION</t>
        </is>
      </c>
    </row>
    <row r="11" ht="28" customHeight="1">
      <c r="A11" s="14" t="inlineStr">
        <is>
          <t>Model</t>
        </is>
      </c>
      <c r="B11" s="14" t="inlineStr">
        <is>
          <t>Input</t>
        </is>
      </c>
      <c r="C11" s="14" t="inlineStr">
        <is>
          <t>Output</t>
        </is>
      </c>
    </row>
    <row r="12">
      <c r="A12" s="16" t="inlineStr">
        <is>
          <t>Claude Haiku 4.5</t>
        </is>
      </c>
      <c r="B12" s="22" t="n">
        <v>1</v>
      </c>
      <c r="C12" s="22" t="n">
        <v>5</v>
      </c>
    </row>
    <row r="13">
      <c r="A13" s="16" t="inlineStr">
        <is>
          <t>Claude Sonnet 4.6</t>
        </is>
      </c>
      <c r="B13" s="22" t="n">
        <v>3</v>
      </c>
      <c r="C13" s="22" t="n">
        <v>15</v>
      </c>
    </row>
    <row r="14">
      <c r="A14" s="16" t="inlineStr">
        <is>
          <t>Claude Opus 4.8</t>
        </is>
      </c>
      <c r="B14" s="22" t="n">
        <v>5</v>
      </c>
      <c r="C14" s="22" t="n">
        <v>25</v>
      </c>
    </row>
    <row r="15">
      <c r="A15" s="16" t="inlineStr">
        <is>
          <t>Azure OpenAI GPT-4o (PHI/BAA path)</t>
        </is>
      </c>
      <c r="B15" s="22" t="n">
        <v>2.5</v>
      </c>
      <c r="C15" s="22" t="n">
        <v>10</v>
      </c>
    </row>
    <row r="16">
      <c r="A16" s="16" t="inlineStr">
        <is>
          <t>OpenAI text-embedding-3-small</t>
        </is>
      </c>
      <c r="B16" s="22" t="n">
        <v>0.02</v>
      </c>
      <c r="C16" s="22" t="n">
        <v>0</v>
      </c>
    </row>
  </sheetData>
  <autoFilter ref="A11:C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64" customWidth="1" min="3" max="3"/>
  </cols>
  <sheetData>
    <row r="1">
      <c r="A1" s="1" t="inlineStr">
        <is>
          <t>AI agent workforce (20 agents)</t>
        </is>
      </c>
    </row>
    <row r="2">
      <c r="A2" s="2" t="inlineStr">
        <is>
          <t>Operated by humans via AI tools — NOT one subscription per agent.</t>
        </is>
      </c>
    </row>
    <row r="4" ht="28" customHeight="1">
      <c r="A4" s="14" t="inlineStr">
        <is>
          <t>#</t>
        </is>
      </c>
      <c r="B4" s="14" t="inlineStr">
        <is>
          <t>AI Agent</t>
        </is>
      </c>
      <c r="C4" s="14" t="inlineStr">
        <is>
          <t>Governance</t>
        </is>
      </c>
    </row>
    <row r="5">
      <c r="A5" s="15" t="n">
        <v>1</v>
      </c>
      <c r="B5" s="15" t="inlineStr">
        <is>
          <t>Product Manager</t>
        </is>
      </c>
      <c r="C5" s="15" t="inlineStr">
        <is>
          <t>Scoped tool/data/tenant/action permissions + audit; high-risk actions human-approved</t>
        </is>
      </c>
    </row>
    <row r="6">
      <c r="A6" s="15" t="n">
        <v>2</v>
      </c>
      <c r="B6" s="15" t="inlineStr">
        <is>
          <t>Project Manager</t>
        </is>
      </c>
      <c r="C6" s="15" t="inlineStr">
        <is>
          <t>Scoped tool/data/tenant/action permissions + audit; high-risk actions human-approved</t>
        </is>
      </c>
    </row>
    <row r="7">
      <c r="A7" s="15" t="n">
        <v>3</v>
      </c>
      <c r="B7" s="15" t="inlineStr">
        <is>
          <t>Business Analyst</t>
        </is>
      </c>
      <c r="C7" s="15" t="inlineStr">
        <is>
          <t>Scoped tool/data/tenant/action permissions + audit; high-risk actions human-approved</t>
        </is>
      </c>
    </row>
    <row r="8">
      <c r="A8" s="15" t="n">
        <v>4</v>
      </c>
      <c r="B8" s="15" t="inlineStr">
        <is>
          <t>Healthcare RCM</t>
        </is>
      </c>
      <c r="C8" s="15" t="inlineStr">
        <is>
          <t>Scoped tool/data/tenant/action permissions + audit; high-risk actions human-approved</t>
        </is>
      </c>
    </row>
    <row r="9">
      <c r="A9" s="15" t="n">
        <v>5</v>
      </c>
      <c r="B9" s="15" t="inlineStr">
        <is>
          <t>Payer Research</t>
        </is>
      </c>
      <c r="C9" s="15" t="inlineStr">
        <is>
          <t>Scoped tool/data/tenant/action permissions + audit; high-risk actions human-approved</t>
        </is>
      </c>
    </row>
    <row r="10">
      <c r="A10" s="15" t="n">
        <v>6</v>
      </c>
      <c r="B10" s="15" t="inlineStr">
        <is>
          <t>Architecture</t>
        </is>
      </c>
      <c r="C10" s="15" t="inlineStr">
        <is>
          <t>Scoped tool/data/tenant/action permissions + audit; high-risk actions human-approved</t>
        </is>
      </c>
    </row>
    <row r="11">
      <c r="A11" s="15" t="n">
        <v>7</v>
      </c>
      <c r="B11" s="15" t="inlineStr">
        <is>
          <t>Backend Developer</t>
        </is>
      </c>
      <c r="C11" s="15" t="inlineStr">
        <is>
          <t>Scoped tool/data/tenant/action permissions + audit; high-risk actions human-approved</t>
        </is>
      </c>
    </row>
    <row r="12">
      <c r="A12" s="15" t="n">
        <v>8</v>
      </c>
      <c r="B12" s="15" t="inlineStr">
        <is>
          <t>Frontend Developer</t>
        </is>
      </c>
      <c r="C12" s="15" t="inlineStr">
        <is>
          <t>Scoped tool/data/tenant/action permissions + audit; high-risk actions human-approved</t>
        </is>
      </c>
    </row>
    <row r="13">
      <c r="A13" s="15" t="n">
        <v>9</v>
      </c>
      <c r="B13" s="15" t="inlineStr">
        <is>
          <t>AI Engineer</t>
        </is>
      </c>
      <c r="C13" s="15" t="inlineStr">
        <is>
          <t>Scoped tool/data/tenant/action permissions + audit; high-risk actions human-approved</t>
        </is>
      </c>
    </row>
    <row r="14">
      <c r="A14" s="15" t="n">
        <v>10</v>
      </c>
      <c r="B14" s="15" t="inlineStr">
        <is>
          <t>EDI</t>
        </is>
      </c>
      <c r="C14" s="15" t="inlineStr">
        <is>
          <t>Scoped tool/data/tenant/action permissions + audit; high-risk actions human-approved</t>
        </is>
      </c>
    </row>
    <row r="15">
      <c r="A15" s="15" t="n">
        <v>11</v>
      </c>
      <c r="B15" s="15" t="inlineStr">
        <is>
          <t>FHIR</t>
        </is>
      </c>
      <c r="C15" s="15" t="inlineStr">
        <is>
          <t>Scoped tool/data/tenant/action permissions + audit; high-risk actions human-approved</t>
        </is>
      </c>
    </row>
    <row r="16">
      <c r="A16" s="15" t="n">
        <v>12</v>
      </c>
      <c r="B16" s="15" t="inlineStr">
        <is>
          <t>Integration</t>
        </is>
      </c>
      <c r="C16" s="15" t="inlineStr">
        <is>
          <t>Scoped tool/data/tenant/action permissions + audit; high-risk actions human-approved</t>
        </is>
      </c>
    </row>
    <row r="17">
      <c r="A17" s="15" t="n">
        <v>13</v>
      </c>
      <c r="B17" s="15" t="inlineStr">
        <is>
          <t>Database</t>
        </is>
      </c>
      <c r="C17" s="15" t="inlineStr">
        <is>
          <t>Scoped tool/data/tenant/action permissions + audit; high-risk actions human-approved</t>
        </is>
      </c>
    </row>
    <row r="18">
      <c r="A18" s="15" t="n">
        <v>14</v>
      </c>
      <c r="B18" s="15" t="inlineStr">
        <is>
          <t>QA</t>
        </is>
      </c>
      <c r="C18" s="15" t="inlineStr">
        <is>
          <t>Scoped tool/data/tenant/action permissions + audit; high-risk actions human-approved</t>
        </is>
      </c>
    </row>
    <row r="19">
      <c r="A19" s="15" t="n">
        <v>15</v>
      </c>
      <c r="B19" s="15" t="inlineStr">
        <is>
          <t>Security</t>
        </is>
      </c>
      <c r="C19" s="15" t="inlineStr">
        <is>
          <t>Scoped tool/data/tenant/action permissions + audit; high-risk actions human-approved</t>
        </is>
      </c>
    </row>
    <row r="20">
      <c r="A20" s="15" t="n">
        <v>16</v>
      </c>
      <c r="B20" s="15" t="inlineStr">
        <is>
          <t>DevOps</t>
        </is>
      </c>
      <c r="C20" s="15" t="inlineStr">
        <is>
          <t>Scoped tool/data/tenant/action permissions + audit; high-risk actions human-approved</t>
        </is>
      </c>
    </row>
    <row r="21">
      <c r="A21" s="15" t="n">
        <v>17</v>
      </c>
      <c r="B21" s="15" t="inlineStr">
        <is>
          <t>FinOps</t>
        </is>
      </c>
      <c r="C21" s="15" t="inlineStr">
        <is>
          <t>Scoped tool/data/tenant/action permissions + audit; high-risk actions human-approved</t>
        </is>
      </c>
    </row>
    <row r="22">
      <c r="A22" s="15" t="n">
        <v>18</v>
      </c>
      <c r="B22" s="15" t="inlineStr">
        <is>
          <t>Documentation</t>
        </is>
      </c>
      <c r="C22" s="15" t="inlineStr">
        <is>
          <t>Scoped tool/data/tenant/action permissions + audit; high-risk actions human-approved</t>
        </is>
      </c>
    </row>
    <row r="23">
      <c r="A23" s="15" t="n">
        <v>19</v>
      </c>
      <c r="B23" s="15" t="inlineStr">
        <is>
          <t>Compliance Research</t>
        </is>
      </c>
      <c r="C23" s="15" t="inlineStr">
        <is>
          <t>Scoped tool/data/tenant/action permissions + audit; high-risk actions human-approved</t>
        </is>
      </c>
    </row>
    <row r="24">
      <c r="A24" s="15" t="n">
        <v>20</v>
      </c>
      <c r="B24" s="15" t="inlineStr">
        <is>
          <t>Test Data</t>
        </is>
      </c>
      <c r="C24" s="15" t="inlineStr">
        <is>
          <t>Scoped tool/data/tenant/action permissions + audit; high-risk actions human-approved</t>
        </is>
      </c>
    </row>
  </sheetData>
  <autoFilter ref="A4:C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>
      <c r="A1" s="1" t="inlineStr">
        <is>
          <t>Human resources — India salary bands (annual base USD)</t>
        </is>
      </c>
    </row>
    <row r="2">
      <c r="A2" s="3" t="inlineStr">
        <is>
          <t>Loaded cost = base × factor (ASSUMPTIONS). Ranges, not quotes. Sources: Glassdoor/6figr/Levels.</t>
        </is>
      </c>
    </row>
    <row r="4" ht="28" customHeight="1">
      <c r="A4" s="14" t="inlineStr">
        <is>
          <t>Role</t>
        </is>
      </c>
      <c r="B4" s="14" t="inlineStr">
        <is>
          <t>Low USD</t>
        </is>
      </c>
      <c r="C4" s="14" t="inlineStr">
        <is>
          <t>Mid USD</t>
        </is>
      </c>
      <c r="D4" s="14" t="inlineStr">
        <is>
          <t>High USD</t>
        </is>
      </c>
      <c r="E4" s="14" t="inlineStr">
        <is>
          <t>Loaded Mid USD</t>
        </is>
      </c>
      <c r="F4" s="14" t="inlineStr">
        <is>
          <t>Loaded Mid INR</t>
        </is>
      </c>
    </row>
    <row r="5">
      <c r="A5" s="16" t="inlineStr">
        <is>
          <t>CTO / Principal Architect</t>
        </is>
      </c>
      <c r="B5" s="21" t="n">
        <v>46000</v>
      </c>
      <c r="C5" s="21" t="n">
        <v>86000</v>
      </c>
      <c r="D5" s="21" t="n">
        <v>172000</v>
      </c>
      <c r="E5" s="21">
        <f>C5*'ASSUMPTIONS'!$B$19</f>
        <v/>
      </c>
      <c r="F5" s="21">
        <f>E5*'ASSUMPTIONS'!$B$6</f>
        <v/>
      </c>
    </row>
    <row r="6">
      <c r="A6" s="16" t="inlineStr">
        <is>
          <t>Product Manager</t>
        </is>
      </c>
      <c r="B6" s="21" t="n">
        <v>23000</v>
      </c>
      <c r="C6" s="21" t="n">
        <v>40000</v>
      </c>
      <c r="D6" s="21" t="n">
        <v>63000</v>
      </c>
      <c r="E6" s="21">
        <f>C6*'ASSUMPTIONS'!$B$19</f>
        <v/>
      </c>
      <c r="F6" s="21">
        <f>E6*'ASSUMPTIONS'!$B$6</f>
        <v/>
      </c>
    </row>
    <row r="7">
      <c r="A7" s="16" t="inlineStr">
        <is>
          <t>Healthcare / RCM Business Analyst</t>
        </is>
      </c>
      <c r="B7" s="21" t="n">
        <v>7000</v>
      </c>
      <c r="C7" s="21" t="n">
        <v>14000</v>
      </c>
      <c r="D7" s="21" t="n">
        <v>23000</v>
      </c>
      <c r="E7" s="21">
        <f>C7*'ASSUMPTIONS'!$B$19</f>
        <v/>
      </c>
      <c r="F7" s="21">
        <f>E7*'ASSUMPTIONS'!$B$6</f>
        <v/>
      </c>
    </row>
    <row r="8">
      <c r="A8" s="16" t="inlineStr">
        <is>
          <t>Senior Backend Engineer</t>
        </is>
      </c>
      <c r="B8" s="21" t="n">
        <v>21000</v>
      </c>
      <c r="C8" s="21" t="n">
        <v>34000</v>
      </c>
      <c r="D8" s="21" t="n">
        <v>57000</v>
      </c>
      <c r="E8" s="21">
        <f>C8*'ASSUMPTIONS'!$B$19</f>
        <v/>
      </c>
      <c r="F8" s="21">
        <f>E8*'ASSUMPTIONS'!$B$6</f>
        <v/>
      </c>
    </row>
    <row r="9">
      <c r="A9" s="16" t="inlineStr">
        <is>
          <t>Senior Frontend Engineer</t>
        </is>
      </c>
      <c r="B9" s="21" t="n">
        <v>17000</v>
      </c>
      <c r="C9" s="21" t="n">
        <v>30000</v>
      </c>
      <c r="D9" s="21" t="n">
        <v>52000</v>
      </c>
      <c r="E9" s="21">
        <f>C9*'ASSUMPTIONS'!$B$19</f>
        <v/>
      </c>
      <c r="F9" s="21">
        <f>E9*'ASSUMPTIONS'!$B$6</f>
        <v/>
      </c>
    </row>
    <row r="10">
      <c r="A10" s="16" t="inlineStr">
        <is>
          <t>AI / ML Engineer</t>
        </is>
      </c>
      <c r="B10" s="21" t="n">
        <v>23000</v>
      </c>
      <c r="C10" s="21" t="n">
        <v>40000</v>
      </c>
      <c r="D10" s="21" t="n">
        <v>69000</v>
      </c>
      <c r="E10" s="21">
        <f>C10*'ASSUMPTIONS'!$B$19</f>
        <v/>
      </c>
      <c r="F10" s="21">
        <f>E10*'ASSUMPTIONS'!$B$6</f>
        <v/>
      </c>
    </row>
    <row r="11">
      <c r="A11" s="16" t="inlineStr">
        <is>
          <t>Integration Engineer (EDI/FHIR)</t>
        </is>
      </c>
      <c r="B11" s="21" t="n">
        <v>14000</v>
      </c>
      <c r="C11" s="21" t="n">
        <v>25000</v>
      </c>
      <c r="D11" s="21" t="n">
        <v>44000</v>
      </c>
      <c r="E11" s="21">
        <f>C11*'ASSUMPTIONS'!$B$19</f>
        <v/>
      </c>
      <c r="F11" s="21">
        <f>E11*'ASSUMPTIONS'!$B$6</f>
        <v/>
      </c>
    </row>
    <row r="12">
      <c r="A12" s="16" t="inlineStr">
        <is>
          <t>DevOps / SRE Engineer</t>
        </is>
      </c>
      <c r="B12" s="21" t="n">
        <v>21000</v>
      </c>
      <c r="C12" s="21" t="n">
        <v>32000</v>
      </c>
      <c r="D12" s="21" t="n">
        <v>57000</v>
      </c>
      <c r="E12" s="21">
        <f>C12*'ASSUMPTIONS'!$B$19</f>
        <v/>
      </c>
      <c r="F12" s="21">
        <f>E12*'ASSUMPTIONS'!$B$6</f>
        <v/>
      </c>
    </row>
    <row r="13">
      <c r="A13" s="16" t="inlineStr">
        <is>
          <t>Security Engineer</t>
        </is>
      </c>
      <c r="B13" s="21" t="n">
        <v>17000</v>
      </c>
      <c r="C13" s="21" t="n">
        <v>32000</v>
      </c>
      <c r="D13" s="21" t="n">
        <v>52000</v>
      </c>
      <c r="E13" s="21">
        <f>C13*'ASSUMPTIONS'!$B$19</f>
        <v/>
      </c>
      <c r="F13" s="21">
        <f>E13*'ASSUMPTIONS'!$B$6</f>
        <v/>
      </c>
    </row>
    <row r="14">
      <c r="A14" s="16" t="inlineStr">
        <is>
          <t>QA Engineer</t>
        </is>
      </c>
      <c r="B14" s="21" t="n">
        <v>9000</v>
      </c>
      <c r="C14" s="21" t="n">
        <v>17000</v>
      </c>
      <c r="D14" s="21" t="n">
        <v>29000</v>
      </c>
      <c r="E14" s="21">
        <f>C14*'ASSUMPTIONS'!$B$19</f>
        <v/>
      </c>
      <c r="F14" s="21">
        <f>E14*'ASSUMPTIONS'!$B$6</f>
        <v/>
      </c>
    </row>
    <row r="15">
      <c r="A15" s="16" t="inlineStr">
        <is>
          <t>Data Engineer</t>
        </is>
      </c>
      <c r="B15" s="21" t="n">
        <v>14000</v>
      </c>
      <c r="C15" s="21" t="n">
        <v>28000</v>
      </c>
      <c r="D15" s="21" t="n">
        <v>48000</v>
      </c>
      <c r="E15" s="21">
        <f>C15*'ASSUMPTIONS'!$B$19</f>
        <v/>
      </c>
      <c r="F15" s="21">
        <f>E15*'ASSUMPTIONS'!$B$6</f>
        <v/>
      </c>
    </row>
    <row r="16">
      <c r="A16" s="16" t="inlineStr">
        <is>
          <t>Compliance Consultant (fractional)</t>
        </is>
      </c>
      <c r="B16" s="21" t="n">
        <v>18000</v>
      </c>
      <c r="C16" s="21" t="n">
        <v>36000</v>
      </c>
      <c r="D16" s="21" t="n">
        <v>60000</v>
      </c>
      <c r="E16" s="21">
        <f>C16*'ASSUMPTIONS'!$B$19</f>
        <v/>
      </c>
      <c r="F16" s="21">
        <f>E16*'ASSUMPTIONS'!$B$6</f>
        <v/>
      </c>
    </row>
  </sheetData>
  <autoFilter ref="A4:F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Development cost by team model (annual, loaded)</t>
        </is>
      </c>
    </row>
    <row r="3" ht="28" customHeight="1">
      <c r="A3" s="14" t="inlineStr">
        <is>
          <t>Team model</t>
        </is>
      </c>
      <c r="B3" s="14" t="inlineStr">
        <is>
          <t>Roles</t>
        </is>
      </c>
      <c r="C3" s="14" t="inlineStr">
        <is>
          <t>Low USD</t>
        </is>
      </c>
      <c r="D3" s="14" t="inlineStr">
        <is>
          <t>Mid USD</t>
        </is>
      </c>
      <c r="E3" s="14" t="inlineStr">
        <is>
          <t>High USD</t>
        </is>
      </c>
    </row>
    <row r="4">
      <c r="A4" s="16" t="inlineStr">
        <is>
          <t>Lean MVP (5)</t>
        </is>
      </c>
      <c r="B4" s="16" t="n">
        <v>5</v>
      </c>
      <c r="C4" s="21" t="n">
        <v>179200</v>
      </c>
      <c r="D4" s="21" t="n">
        <v>310800</v>
      </c>
      <c r="E4" s="21" t="n">
        <v>569800</v>
      </c>
    </row>
    <row r="5">
      <c r="A5" s="16" t="inlineStr">
        <is>
          <t>Balanced MVP (8)</t>
        </is>
      </c>
      <c r="B5" s="16" t="n">
        <v>8</v>
      </c>
      <c r="C5" s="21" t="n">
        <v>235200</v>
      </c>
      <c r="D5" s="21" t="n">
        <v>414400</v>
      </c>
      <c r="E5" s="21" t="n">
        <v>744800</v>
      </c>
    </row>
    <row r="6">
      <c r="A6" s="16" t="inlineStr">
        <is>
          <t>Production (13)</t>
        </is>
      </c>
      <c r="B6" s="16" t="n">
        <v>13</v>
      </c>
      <c r="C6" s="21" t="n">
        <v>345800</v>
      </c>
      <c r="D6" s="21" t="n">
        <v>624400</v>
      </c>
      <c r="E6" s="21" t="n">
        <v>1089200</v>
      </c>
    </row>
    <row r="8">
      <c r="A8" s="19" t="inlineStr">
        <is>
          <t>MVP build (Lean team × 8 mo)</t>
        </is>
      </c>
      <c r="D8" s="21" t="n">
        <v>207200</v>
      </c>
    </row>
    <row r="9">
      <c r="A9" s="19" t="inlineStr">
        <is>
          <t>To production (Balanced × 11.5 mo)</t>
        </is>
      </c>
      <c r="D9" s="21" t="n">
        <v>397133</v>
      </c>
    </row>
  </sheetData>
  <autoFilter ref="A3:E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Security &amp; compliance cost</t>
        </is>
      </c>
    </row>
    <row r="2">
      <c r="A2" s="3" t="inlineStr">
        <is>
          <t>Ranges from benchmarks (Secureframe/Drata/Bright Defense). Not quotes.</t>
        </is>
      </c>
    </row>
    <row r="4" ht="28" customHeight="1">
      <c r="A4" s="14" t="inlineStr">
        <is>
          <t>Item</t>
        </is>
      </c>
      <c r="B4" s="14" t="inlineStr">
        <is>
          <t>One-time Low</t>
        </is>
      </c>
      <c r="C4" s="14" t="inlineStr">
        <is>
          <t>One-time High</t>
        </is>
      </c>
      <c r="D4" s="14" t="inlineStr">
        <is>
          <t>Annual Low</t>
        </is>
      </c>
      <c r="E4" s="14" t="inlineStr">
        <is>
          <t>Annual High</t>
        </is>
      </c>
      <c r="F4" s="14" t="inlineStr">
        <is>
          <t>Category</t>
        </is>
      </c>
    </row>
    <row r="5">
      <c r="A5" s="15" t="inlineStr">
        <is>
          <t>HIPAA risk / gap assessment</t>
        </is>
      </c>
      <c r="B5" s="23" t="n">
        <v>5000</v>
      </c>
      <c r="C5" s="23" t="n">
        <v>20000</v>
      </c>
      <c r="D5" s="15" t="inlineStr"/>
      <c r="E5" s="15" t="inlineStr"/>
      <c r="F5" s="15" t="inlineStr">
        <is>
          <t>one-time</t>
        </is>
      </c>
    </row>
    <row r="6">
      <c r="A6" s="15" t="inlineStr">
        <is>
          <t>HIPAA policies / SOPs + training</t>
        </is>
      </c>
      <c r="B6" s="23" t="n">
        <v>4000</v>
      </c>
      <c r="C6" s="23" t="n">
        <v>12000</v>
      </c>
      <c r="D6" s="15" t="inlineStr"/>
      <c r="E6" s="15" t="inlineStr"/>
      <c r="F6" s="15" t="inlineStr">
        <is>
          <t>one-time</t>
        </is>
      </c>
    </row>
    <row r="7">
      <c r="A7" s="15" t="inlineStr">
        <is>
          <t>Compliance automation tooling (Vanta/Drata)</t>
        </is>
      </c>
      <c r="B7" s="15" t="inlineStr"/>
      <c r="C7" s="15" t="inlineStr"/>
      <c r="D7" s="23" t="n">
        <v>7500</v>
      </c>
      <c r="E7" s="23" t="n">
        <v>50000</v>
      </c>
      <c r="F7" s="15" t="inlineStr">
        <is>
          <t>annual</t>
        </is>
      </c>
    </row>
    <row r="8">
      <c r="A8" s="15" t="inlineStr">
        <is>
          <t>Penetration test (web + API)</t>
        </is>
      </c>
      <c r="B8" s="23" t="n">
        <v>8000</v>
      </c>
      <c r="C8" s="23" t="n">
        <v>25000</v>
      </c>
      <c r="D8" s="15" t="inlineStr"/>
      <c r="E8" s="15" t="inlineStr"/>
      <c r="F8" s="15" t="inlineStr">
        <is>
          <t>per engagement</t>
        </is>
      </c>
    </row>
    <row r="9">
      <c r="A9" s="15" t="inlineStr">
        <is>
          <t>vCISO / fractional CISO</t>
        </is>
      </c>
      <c r="B9" s="15" t="inlineStr"/>
      <c r="C9" s="15" t="inlineStr"/>
      <c r="D9" s="23" t="n">
        <v>30000</v>
      </c>
      <c r="E9" s="23" t="n">
        <v>180000</v>
      </c>
      <c r="F9" s="15" t="inlineStr">
        <is>
          <t>annual</t>
        </is>
      </c>
    </row>
    <row r="10">
      <c r="A10" s="15" t="inlineStr">
        <is>
          <t>SIEM / managed SOC (MDR)</t>
        </is>
      </c>
      <c r="B10" s="15" t="inlineStr"/>
      <c r="C10" s="15" t="inlineStr"/>
      <c r="D10" s="23" t="n">
        <v>6000</v>
      </c>
      <c r="E10" s="23" t="n">
        <v>60000</v>
      </c>
      <c r="F10" s="15" t="inlineStr">
        <is>
          <t>annual</t>
        </is>
      </c>
    </row>
    <row r="11">
      <c r="A11" s="15" t="inlineStr">
        <is>
          <t>SOC 2 Type I</t>
        </is>
      </c>
      <c r="B11" s="23" t="n">
        <v>15000</v>
      </c>
      <c r="C11" s="23" t="n">
        <v>35000</v>
      </c>
      <c r="D11" s="15" t="inlineStr"/>
      <c r="E11" s="15" t="inlineStr"/>
      <c r="F11" s="15" t="inlineStr">
        <is>
          <t>one-time</t>
        </is>
      </c>
    </row>
    <row r="12">
      <c r="A12" s="15" t="inlineStr">
        <is>
          <t>SOC 2 Type II (all-in first year)</t>
        </is>
      </c>
      <c r="B12" s="23" t="n">
        <v>30000</v>
      </c>
      <c r="C12" s="23" t="n">
        <v>80000</v>
      </c>
      <c r="D12" s="15" t="inlineStr"/>
      <c r="E12" s="15" t="inlineStr"/>
      <c r="F12" s="15" t="inlineStr">
        <is>
          <t>one-time</t>
        </is>
      </c>
    </row>
    <row r="13">
      <c r="A13" s="15" t="inlineStr">
        <is>
          <t>HITRUST i1 (roadmap)</t>
        </is>
      </c>
      <c r="B13" s="23" t="n">
        <v>60000</v>
      </c>
      <c r="C13" s="23" t="n">
        <v>200000</v>
      </c>
      <c r="D13" s="15" t="inlineStr"/>
      <c r="E13" s="15" t="inlineStr"/>
      <c r="F13" s="15" t="inlineStr">
        <is>
          <t>one-time (later)</t>
        </is>
      </c>
    </row>
    <row r="14">
      <c r="A14" s="15" t="inlineStr">
        <is>
          <t>Security training (per employee/yr)</t>
        </is>
      </c>
      <c r="B14" s="15" t="inlineStr"/>
      <c r="C14" s="15" t="inlineStr"/>
      <c r="D14" s="23" t="n">
        <v>85</v>
      </c>
      <c r="E14" s="23" t="n">
        <v>150</v>
      </c>
      <c r="F14" s="15" t="inlineStr">
        <is>
          <t>annual/employee</t>
        </is>
      </c>
    </row>
  </sheetData>
  <autoFilter ref="A4:F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46" customWidth="1" min="4" max="4"/>
  </cols>
  <sheetData>
    <row r="1">
      <c r="A1" s="1" t="inlineStr">
        <is>
          <t>HIPAA / PHI program cost</t>
        </is>
      </c>
    </row>
    <row r="2">
      <c r="A2" s="3" t="inlineStr">
        <is>
          <t>HIPAA is a program, not a certification. Azure BAA is included (Product Terms/DPA).</t>
        </is>
      </c>
    </row>
    <row r="4" ht="28" customHeight="1">
      <c r="A4" s="14" t="inlineStr">
        <is>
          <t>Item</t>
        </is>
      </c>
      <c r="B4" s="14" t="inlineStr">
        <is>
          <t>Low USD</t>
        </is>
      </c>
      <c r="C4" s="14" t="inlineStr">
        <is>
          <t>High USD</t>
        </is>
      </c>
      <c r="D4" s="14" t="inlineStr">
        <is>
          <t>Note</t>
        </is>
      </c>
    </row>
    <row r="5">
      <c r="A5" s="15" t="inlineStr">
        <is>
          <t>HIPAA gap/risk assessment</t>
        </is>
      </c>
      <c r="B5" s="23" t="n">
        <v>5000</v>
      </c>
      <c r="C5" s="23" t="n">
        <v>20000</v>
      </c>
      <c r="D5" s="15" t="inlineStr">
        <is>
          <t>HHS SRA tool (DIY) → external engagement</t>
        </is>
      </c>
    </row>
    <row r="6">
      <c r="A6" s="15" t="inlineStr">
        <is>
          <t>Policies / SOPs + training</t>
        </is>
      </c>
      <c r="B6" s="23" t="n">
        <v>4000</v>
      </c>
      <c r="C6" s="23" t="n">
        <v>12000</v>
      </c>
      <c r="D6" s="15" t="inlineStr">
        <is>
          <t>Training ~$85/employee/yr</t>
        </is>
      </c>
    </row>
    <row r="7">
      <c r="A7" s="15" t="inlineStr">
        <is>
          <t>Technical safeguards (in Azure cost)</t>
        </is>
      </c>
      <c r="B7" s="15" t="inlineStr"/>
      <c r="C7" s="15" t="inlineStr"/>
      <c r="D7" s="15" t="inlineStr">
        <is>
          <t>Encryption, Key Vault, private networking, audit</t>
        </is>
      </c>
    </row>
    <row r="8">
      <c r="A8" s="15" t="inlineStr">
        <is>
          <t>Security testing / pen test</t>
        </is>
      </c>
      <c r="B8" s="23" t="n">
        <v>8000</v>
      </c>
      <c r="C8" s="23" t="n">
        <v>25000</v>
      </c>
      <c r="D8" s="15" t="inlineStr">
        <is>
          <t>Web + API</t>
        </is>
      </c>
    </row>
    <row r="9">
      <c r="A9" s="15" t="inlineStr">
        <is>
          <t>Azure HIPAA BAA</t>
        </is>
      </c>
      <c r="B9" s="15" t="inlineStr">
        <is>
          <t>0</t>
        </is>
      </c>
      <c r="C9" s="15" t="inlineStr">
        <is>
          <t>0</t>
        </is>
      </c>
      <c r="D9" s="15" t="inlineStr">
        <is>
          <t>Included via Microsoft Product Terms/DPA</t>
        </is>
      </c>
    </row>
    <row r="10">
      <c r="A10" s="15" t="inlineStr">
        <is>
          <t>Incident response readiness</t>
        </is>
      </c>
      <c r="B10" s="23" t="n">
        <v>5000</v>
      </c>
      <c r="C10" s="23" t="n">
        <v>20000</v>
      </c>
      <c r="D10" s="15" t="inlineStr">
        <is>
          <t>Runbooks + retainer</t>
        </is>
      </c>
    </row>
  </sheetData>
  <autoFilter ref="A4:D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0" customWidth="1" min="4" max="4"/>
    <col width="34" customWidth="1" min="5" max="5"/>
  </cols>
  <sheetData>
    <row r="1">
      <c r="A1" s="1" t="inlineStr">
        <is>
          <t>Compliance roadmap (SOC 2 / HITRUST)</t>
        </is>
      </c>
    </row>
    <row r="2">
      <c r="A2" s="3" t="inlineStr">
        <is>
          <t>Do not claim certification before achieved.</t>
        </is>
      </c>
    </row>
    <row r="4" ht="28" customHeight="1">
      <c r="A4" s="14" t="inlineStr">
        <is>
          <t>Framework</t>
        </is>
      </c>
      <c r="B4" s="14" t="inlineStr">
        <is>
          <t>Timing</t>
        </is>
      </c>
      <c r="C4" s="14" t="inlineStr">
        <is>
          <t>Cost range</t>
        </is>
      </c>
      <c r="D4" s="14" t="inlineStr">
        <is>
          <t>Effort</t>
        </is>
      </c>
      <c r="E4" s="14" t="inlineStr">
        <is>
          <t>Business value</t>
        </is>
      </c>
    </row>
    <row r="5">
      <c r="A5" s="15" t="inlineStr">
        <is>
          <t>SOC 2 Type I</t>
        </is>
      </c>
      <c r="B5" s="15" t="inlineStr">
        <is>
          <t>M10–M11</t>
        </is>
      </c>
      <c r="C5" s="15" t="inlineStr">
        <is>
          <t>$15k–35k</t>
        </is>
      </c>
      <c r="D5" s="15" t="inlineStr">
        <is>
          <t>Readiness + point-in-time audit</t>
        </is>
      </c>
      <c r="E5" s="15" t="inlineStr">
        <is>
          <t>Provider trust; sales enabler</t>
        </is>
      </c>
    </row>
    <row r="6">
      <c r="A6" s="15" t="inlineStr">
        <is>
          <t>SOC 2 Type II</t>
        </is>
      </c>
      <c r="B6" s="15" t="inlineStr">
        <is>
          <t>M12 + 6-mo window</t>
        </is>
      </c>
      <c r="C6" s="15" t="inlineStr">
        <is>
          <t>$30k–80k</t>
        </is>
      </c>
      <c r="D6" s="15" t="inlineStr">
        <is>
          <t>6-month observation + audit</t>
        </is>
      </c>
      <c r="E6" s="15" t="inlineStr">
        <is>
          <t>Enterprise/payer requirement</t>
        </is>
      </c>
    </row>
    <row r="7">
      <c r="A7" s="15" t="inlineStr">
        <is>
          <t>HITRUST i1</t>
        </is>
      </c>
      <c r="B7" s="15" t="inlineStr">
        <is>
          <t>Year 2</t>
        </is>
      </c>
      <c r="C7" s="15" t="inlineStr">
        <is>
          <t>$60k–200k</t>
        </is>
      </c>
      <c r="D7" s="15" t="inlineStr">
        <is>
          <t>If a payer/enterprise customer demands it</t>
        </is>
      </c>
      <c r="E7" s="15" t="inlineStr">
        <is>
          <t>Payer contracts; high assurance</t>
        </is>
      </c>
    </row>
    <row r="8">
      <c r="A8" s="15" t="inlineStr">
        <is>
          <t>HIPAA program</t>
        </is>
      </c>
      <c r="B8" s="15" t="inlineStr">
        <is>
          <t>M10 ongoing</t>
        </is>
      </c>
      <c r="C8" s="15" t="inlineStr">
        <is>
          <t>$20k–40k + tooling</t>
        </is>
      </c>
      <c r="D8" s="15" t="inlineStr">
        <is>
          <t>Risk assessment, policies, training, evidence</t>
        </is>
      </c>
      <c r="E8" s="15" t="inlineStr">
        <is>
          <t>Table stakes for PHI</t>
        </is>
      </c>
    </row>
  </sheetData>
  <autoFilter ref="A4:E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12" customWidth="1" min="4" max="4"/>
    <col width="50" customWidth="1" min="5" max="5"/>
  </cols>
  <sheetData>
    <row r="1">
      <c r="A1" s="1" t="inlineStr">
        <is>
          <t>Milestones M0–M12 (realistic weeks)</t>
        </is>
      </c>
    </row>
    <row r="3" ht="28" customHeight="1">
      <c r="A3" s="14" t="inlineStr">
        <is>
          <t>#</t>
        </is>
      </c>
      <c r="B3" s="14" t="inlineStr">
        <is>
          <t>Milestone</t>
        </is>
      </c>
      <c r="C3" s="14" t="inlineStr">
        <is>
          <t>Weeks</t>
        </is>
      </c>
      <c r="D3" s="14" t="inlineStr">
        <is>
          <t>Depends on</t>
        </is>
      </c>
      <c r="E3" s="14" t="inlineStr">
        <is>
          <t>Key deliverables</t>
        </is>
      </c>
    </row>
    <row r="4">
      <c r="A4" s="15" t="inlineStr">
        <is>
          <t>M0</t>
        </is>
      </c>
      <c r="B4" s="15" t="inlineStr">
        <is>
          <t>Discovery</t>
        </is>
      </c>
      <c r="C4" s="15" t="n">
        <v>2</v>
      </c>
      <c r="D4" s="15" t="inlineStr">
        <is>
          <t>—</t>
        </is>
      </c>
      <c r="E4" s="15" t="inlineStr">
        <is>
          <t>Requirements, payer/API/security research</t>
        </is>
      </c>
    </row>
    <row r="5">
      <c r="A5" s="15" t="inlineStr">
        <is>
          <t>M1</t>
        </is>
      </c>
      <c r="B5" s="15" t="inlineStr">
        <is>
          <t>Architecture + Security foundation</t>
        </is>
      </c>
      <c r="C5" s="15" t="n">
        <v>3</v>
      </c>
      <c r="D5" s="15" t="inlineStr">
        <is>
          <t>M0</t>
        </is>
      </c>
      <c r="E5" s="15" t="inlineStr">
        <is>
          <t>Azure, Entra, networking, tenant model, CI/CD</t>
        </is>
      </c>
    </row>
    <row r="6">
      <c r="A6" s="15" t="inlineStr">
        <is>
          <t>M2</t>
        </is>
      </c>
      <c r="B6" s="15" t="inlineStr">
        <is>
          <t>Multi-tenant core</t>
        </is>
      </c>
      <c r="C6" s="15" t="n">
        <v>4</v>
      </c>
      <c r="D6" s="15" t="inlineStr">
        <is>
          <t>M1</t>
        </is>
      </c>
      <c r="E6" s="15" t="inlineStr">
        <is>
          <t>Tenants, RBAC, orgs, users, audit, admin</t>
        </is>
      </c>
    </row>
    <row r="7">
      <c r="A7" s="15" t="inlineStr">
        <is>
          <t>M3</t>
        </is>
      </c>
      <c r="B7" s="15" t="inlineStr">
        <is>
          <t>Eligibility + Benefits</t>
        </is>
      </c>
      <c r="C7" s="15" t="n">
        <v>4</v>
      </c>
      <c r="D7" s="15" t="inlineStr">
        <is>
          <t>M2</t>
        </is>
      </c>
      <c r="E7" s="15" t="inlineStr">
        <is>
          <t>270/271, integration framework, payer config</t>
        </is>
      </c>
    </row>
    <row r="8">
      <c r="A8" s="15" t="inlineStr">
        <is>
          <t>M4</t>
        </is>
      </c>
      <c r="B8" s="15" t="inlineStr">
        <is>
          <t>Claim Status</t>
        </is>
      </c>
      <c r="C8" s="15" t="n">
        <v>3</v>
      </c>
      <c r="D8" s="15" t="inlineStr">
        <is>
          <t>M3</t>
        </is>
      </c>
      <c r="E8" s="15" t="inlineStr">
        <is>
          <t>276/277, timeline, status agent</t>
        </is>
      </c>
    </row>
    <row r="9">
      <c r="A9" s="15" t="inlineStr">
        <is>
          <t>M5</t>
        </is>
      </c>
      <c r="B9" s="15" t="inlineStr">
        <is>
          <t>Prior Authorization</t>
        </is>
      </c>
      <c r="C9" s="15" t="n">
        <v>4</v>
      </c>
      <c r="D9" s="15" t="inlineStr">
        <is>
          <t>M3</t>
        </is>
      </c>
      <c r="E9" s="15" t="inlineStr">
        <is>
          <t>278/FHIR, PA workflow, document workflow</t>
        </is>
      </c>
    </row>
    <row r="10">
      <c r="A10" s="15" t="inlineStr">
        <is>
          <t>M6</t>
        </is>
      </c>
      <c r="B10" s="15" t="inlineStr">
        <is>
          <t>Denial Intelligence</t>
        </is>
      </c>
      <c r="C10" s="15" t="n">
        <v>4</v>
      </c>
      <c r="D10" s="15" t="inlineStr">
        <is>
          <t>M4</t>
        </is>
      </c>
      <c r="E10" s="15" t="inlineStr">
        <is>
          <t>835/CARC/RARC, analysis, recovery</t>
        </is>
      </c>
    </row>
    <row r="11">
      <c r="A11" s="15" t="inlineStr">
        <is>
          <t>M7</t>
        </is>
      </c>
      <c r="B11" s="15" t="inlineStr">
        <is>
          <t>Appeals</t>
        </is>
      </c>
      <c r="C11" s="15" t="n">
        <v>3</v>
      </c>
      <c r="D11" s="15" t="inlineStr">
        <is>
          <t>M6</t>
        </is>
      </c>
      <c r="E11" s="15" t="inlineStr">
        <is>
          <t>Draft, human approval, tracking</t>
        </is>
      </c>
    </row>
    <row r="12">
      <c r="A12" s="15" t="inlineStr">
        <is>
          <t>M8</t>
        </is>
      </c>
      <c r="B12" s="15" t="inlineStr">
        <is>
          <t>Payer Intelligence</t>
        </is>
      </c>
      <c r="C12" s="15" t="n">
        <v>4</v>
      </c>
      <c r="D12" s="15" t="inlineStr">
        <is>
          <t>M3-M7</t>
        </is>
      </c>
      <c r="E12" s="15" t="inlineStr">
        <is>
          <t>Payer DB, RAG, recommendation engine</t>
        </is>
      </c>
    </row>
    <row r="13">
      <c r="A13" s="15" t="inlineStr">
        <is>
          <t>M9</t>
        </is>
      </c>
      <c r="B13" s="15" t="inlineStr">
        <is>
          <t>AI Workforce</t>
        </is>
      </c>
      <c r="C13" s="15" t="n">
        <v>3</v>
      </c>
      <c r="D13" s="15" t="inlineStr">
        <is>
          <t>M8</t>
        </is>
      </c>
      <c r="E13" s="15" t="inlineStr">
        <is>
          <t>Agent orchestration, registry, audit</t>
        </is>
      </c>
    </row>
    <row r="14">
      <c r="A14" s="15" t="inlineStr">
        <is>
          <t>M10</t>
        </is>
      </c>
      <c r="B14" s="15" t="inlineStr">
        <is>
          <t>Security / HIPAA hardening</t>
        </is>
      </c>
      <c r="C14" s="15" t="n">
        <v>4</v>
      </c>
      <c r="D14" s="15" t="inlineStr">
        <is>
          <t>M1-M9</t>
        </is>
      </c>
      <c r="E14" s="15" t="inlineStr">
        <is>
          <t>Risk assessment, pen test, PHI controls</t>
        </is>
      </c>
    </row>
    <row r="15">
      <c r="A15" s="15" t="inlineStr">
        <is>
          <t>M11</t>
        </is>
      </c>
      <c r="B15" s="15" t="inlineStr">
        <is>
          <t>Pilot</t>
        </is>
      </c>
      <c r="C15" s="15" t="n">
        <v>4</v>
      </c>
      <c r="D15" s="15" t="inlineStr">
        <is>
          <t>M10</t>
        </is>
      </c>
      <c r="E15" s="15" t="inlineStr">
        <is>
          <t>Design partner, approved data, metrics</t>
        </is>
      </c>
    </row>
    <row r="16">
      <c r="A16" s="15" t="inlineStr">
        <is>
          <t>M12</t>
        </is>
      </c>
      <c r="B16" s="15" t="inlineStr">
        <is>
          <t>Production readiness</t>
        </is>
      </c>
      <c r="C16" s="15" t="n">
        <v>4</v>
      </c>
      <c r="D16" s="15" t="inlineStr">
        <is>
          <t>M11</t>
        </is>
      </c>
      <c r="E16" s="15" t="inlineStr">
        <is>
          <t>HA, DR, monitoring, runbooks, release</t>
        </is>
      </c>
    </row>
    <row r="18">
      <c r="A18" s="13" t="inlineStr">
        <is>
          <t>Aggressive ≈ 0.8× · Realistic = 1.0× (~46 wk) · Conservative ≈ 1.3×</t>
        </is>
      </c>
    </row>
  </sheetData>
  <autoFilter ref="A3:E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4" customWidth="1" min="2" max="2"/>
  </cols>
  <sheetData>
    <row r="1">
      <c r="A1" s="1" t="inlineStr">
        <is>
          <t>Project plan summary</t>
        </is>
      </c>
    </row>
    <row r="3" ht="28" customHeight="1">
      <c r="A3" s="14" t="inlineStr">
        <is>
          <t>Area</t>
        </is>
      </c>
      <c r="B3" s="14" t="inlineStr">
        <is>
          <t>Approach</t>
        </is>
      </c>
    </row>
    <row r="4">
      <c r="A4" s="15" t="inlineStr">
        <is>
          <t>PM platform</t>
        </is>
      </c>
      <c r="B4" s="15" t="inlineStr">
        <is>
          <t>GitHub Projects (recommended) → Linear/Jira as team scales</t>
        </is>
      </c>
    </row>
    <row r="5">
      <c r="A5" s="15" t="inlineStr">
        <is>
          <t>Workflow</t>
        </is>
      </c>
      <c r="B5" s="15" t="inlineStr">
        <is>
          <t>Requirement → AI PM → story → AI architect → AI dev → AI QA/Security → PR → human review → CI/CD → staging → human approval → prod</t>
        </is>
      </c>
    </row>
    <row r="6">
      <c r="A6" s="15" t="inlineStr">
        <is>
          <t>Git</t>
        </is>
      </c>
      <c r="B6" s="15" t="inlineStr">
        <is>
          <t>main (protected), develop, feature/*, bugfix/*, security/*; mandatory PR + scans</t>
        </is>
      </c>
    </row>
    <row r="7">
      <c r="A7" s="15" t="inlineStr">
        <is>
          <t>Team</t>
        </is>
      </c>
      <c r="B7" s="15" t="inlineStr">
        <is>
          <t>Lean 5 → Balanced 8 → Production 12–15; 5 × Claude Max 20x baseline</t>
        </is>
      </c>
    </row>
    <row r="8">
      <c r="A8" s="15" t="inlineStr">
        <is>
          <t>AI productivity</t>
        </is>
      </c>
      <c r="B8" s="15" t="inlineStr">
        <is>
          <t>+10/20/30/40% scenarios; plan on +30%</t>
        </is>
      </c>
    </row>
    <row r="9">
      <c r="A9" s="15" t="inlineStr">
        <is>
          <t>Timeline</t>
        </is>
      </c>
      <c r="B9" s="15" t="inlineStr">
        <is>
          <t>MVP ~M8–M9 (~32 wk), pilot ~M11 (~40 wk), production ~M12 (~46 wk) realistic</t>
        </is>
      </c>
    </row>
  </sheetData>
  <autoFilter ref="A3:B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4" customWidth="1" min="5" max="5"/>
    <col width="16" customWidth="1" min="6" max="6"/>
  </cols>
  <sheetData>
    <row r="1">
      <c r="A1" s="1" t="inlineStr">
        <is>
          <t>Cloud + runtime cost summary by scenario (monthly USD)</t>
        </is>
      </c>
    </row>
    <row r="3" ht="28" customHeight="1">
      <c r="A3" s="14" t="inlineStr">
        <is>
          <t>Scenario</t>
        </is>
      </c>
      <c r="B3" s="14" t="inlineStr">
        <is>
          <t>Azure</t>
        </is>
      </c>
      <c r="C3" s="14" t="inlineStr">
        <is>
          <t>AI runtime</t>
        </is>
      </c>
      <c r="D3" s="14" t="inlineStr">
        <is>
          <t>Clearinghouse</t>
        </is>
      </c>
      <c r="E3" s="14" t="inlineStr">
        <is>
          <t>Total /mo</t>
        </is>
      </c>
      <c r="F3" s="14" t="inlineStr">
        <is>
          <t>Total /mo INR</t>
        </is>
      </c>
    </row>
    <row r="4">
      <c r="A4" s="16" t="inlineStr">
        <is>
          <t>Development</t>
        </is>
      </c>
      <c r="B4" s="21" t="n">
        <v>385</v>
      </c>
      <c r="C4" s="21" t="n">
        <v>459.4</v>
      </c>
      <c r="D4" s="21" t="n">
        <v>480</v>
      </c>
      <c r="E4" s="21">
        <f>B4+C4+D4</f>
        <v/>
      </c>
      <c r="F4" s="21">
        <f>E4*'ASSUMPTIONS'!$B$6</f>
        <v/>
      </c>
    </row>
    <row r="5">
      <c r="A5" s="16" t="inlineStr">
        <is>
          <t>MVP / Pilot</t>
        </is>
      </c>
      <c r="B5" s="21" t="n">
        <v>1377</v>
      </c>
      <c r="C5" s="21" t="n">
        <v>9685</v>
      </c>
      <c r="D5" s="21" t="n">
        <v>12000</v>
      </c>
      <c r="E5" s="21">
        <f>B5+C5+D5</f>
        <v/>
      </c>
      <c r="F5" s="21">
        <f>E5*'ASSUMPTIONS'!$B$6</f>
        <v/>
      </c>
    </row>
    <row r="6">
      <c r="A6" s="16" t="inlineStr">
        <is>
          <t>Medium Production</t>
        </is>
      </c>
      <c r="B6" s="21" t="n">
        <v>7176</v>
      </c>
      <c r="C6" s="21" t="n">
        <v>96350</v>
      </c>
      <c r="D6" s="21" t="n">
        <v>120000</v>
      </c>
      <c r="E6" s="21">
        <f>B6+C6+D6</f>
        <v/>
      </c>
      <c r="F6" s="21">
        <f>E6*'ASSUMPTIONS'!$B$6</f>
        <v/>
      </c>
    </row>
    <row r="7">
      <c r="A7" s="16" t="inlineStr">
        <is>
          <t>Large Production</t>
        </is>
      </c>
      <c r="B7" s="21" t="n">
        <v>38694</v>
      </c>
      <c r="C7" s="21" t="n">
        <v>962000</v>
      </c>
      <c r="D7" s="21" t="n">
        <v>1200000</v>
      </c>
      <c r="E7" s="21">
        <f>B7+C7+D7</f>
        <v/>
      </c>
      <c r="F7" s="21">
        <f>E7*'ASSUMPTIONS'!$B$6</f>
        <v/>
      </c>
    </row>
  </sheetData>
  <autoFilter ref="A3:F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2" customWidth="1" min="4" max="4"/>
    <col width="44" customWidth="1" min="5" max="5"/>
  </cols>
  <sheetData>
    <row r="1">
      <c r="A1" s="1" t="inlineStr">
        <is>
          <t>Unit economics (cost per action)</t>
        </is>
      </c>
    </row>
    <row r="2">
      <c r="A2" s="3" t="inlineStr">
        <is>
          <t>AI + channel cost. Clearinghouse per transaction is a MODEL ASSUMPTION (Stedi free tier covers MVP).</t>
        </is>
      </c>
    </row>
    <row r="4" ht="28" customHeight="1">
      <c r="A4" s="14" t="inlineStr">
        <is>
          <t>Action</t>
        </is>
      </c>
      <c r="B4" s="14" t="inlineStr">
        <is>
          <t>AI cost USD</t>
        </is>
      </c>
      <c r="C4" s="14" t="inlineStr">
        <is>
          <t>Channel cost USD</t>
        </is>
      </c>
      <c r="D4" s="14" t="inlineStr">
        <is>
          <t>Total USD</t>
        </is>
      </c>
      <c r="E4" s="14" t="inlineStr">
        <is>
          <t>Note</t>
        </is>
      </c>
    </row>
    <row r="5">
      <c r="A5" s="16" t="inlineStr">
        <is>
          <t>Eligibility check</t>
        </is>
      </c>
      <c r="B5" s="22" t="n">
        <v>0.005</v>
      </c>
      <c r="C5" s="22" t="n">
        <v>0.12</v>
      </c>
      <c r="D5" s="22">
        <f>B5+C5</f>
        <v/>
      </c>
      <c r="E5" t="inlineStr">
        <is>
          <t>Haiku parse + 270/271 txn</t>
        </is>
      </c>
    </row>
    <row r="6">
      <c r="A6" s="16" t="inlineStr">
        <is>
          <t>Benefit verification</t>
        </is>
      </c>
      <c r="B6" s="22" t="n">
        <v>0.006</v>
      </c>
      <c r="C6" s="22" t="n">
        <v>0.12</v>
      </c>
      <c r="D6" s="22">
        <f>B6+C6</f>
        <v/>
      </c>
      <c r="E6" t="inlineStr">
        <is>
          <t>271 parse + txn</t>
        </is>
      </c>
    </row>
    <row r="7">
      <c r="A7" s="16" t="inlineStr">
        <is>
          <t>Claim status</t>
        </is>
      </c>
      <c r="B7" s="22" t="n">
        <v>0.005</v>
      </c>
      <c r="C7" s="22" t="n">
        <v>0.12</v>
      </c>
      <c r="D7" s="22">
        <f>B7+C7</f>
        <v/>
      </c>
      <c r="E7" t="inlineStr">
        <is>
          <t>276/277 txn</t>
        </is>
      </c>
    </row>
    <row r="8">
      <c r="A8" s="16" t="inlineStr">
        <is>
          <t>Prior authorization</t>
        </is>
      </c>
      <c r="B8" s="22" t="n">
        <v>0.05</v>
      </c>
      <c r="C8" s="22" t="n">
        <v>0.12</v>
      </c>
      <c r="D8" s="22">
        <f>B8+C8</f>
        <v/>
      </c>
      <c r="E8" t="inlineStr">
        <is>
          <t>reasoning + 278/portal</t>
        </is>
      </c>
    </row>
    <row r="9">
      <c r="A9" s="16" t="inlineStr">
        <is>
          <t>Denial analysis</t>
        </is>
      </c>
      <c r="B9" s="22" t="n">
        <v>0.1</v>
      </c>
      <c r="C9" s="22" t="n">
        <v>0</v>
      </c>
      <c r="D9" s="22">
        <f>B9+C9</f>
        <v/>
      </c>
      <c r="E9" t="inlineStr">
        <is>
          <t>Opus root-cause (835 already received)</t>
        </is>
      </c>
    </row>
    <row r="10">
      <c r="A10" s="16" t="inlineStr">
        <is>
          <t>Appeal draft</t>
        </is>
      </c>
      <c r="B10" s="22" t="n">
        <v>0.15</v>
      </c>
      <c r="C10" s="22" t="n">
        <v>0</v>
      </c>
      <c r="D10" s="22">
        <f>B10+C10</f>
        <v/>
      </c>
      <c r="E10" t="inlineStr">
        <is>
          <t>Opus draft + human review</t>
        </is>
      </c>
    </row>
    <row r="11">
      <c r="A11" s="16" t="inlineStr">
        <is>
          <t>AI agent action (generic)</t>
        </is>
      </c>
      <c r="B11" s="22" t="n">
        <v>0.02</v>
      </c>
      <c r="C11" s="22" t="n">
        <v>0</v>
      </c>
      <c r="D11" s="22">
        <f>B11+C11</f>
        <v/>
      </c>
      <c r="E11" t="inlineStr">
        <is>
          <t>orchestration step</t>
        </is>
      </c>
    </row>
    <row r="13">
      <c r="A13" s="19" t="inlineStr">
        <is>
          <t>All-in cost per worked claim (blended)</t>
        </is>
      </c>
      <c r="D13" s="22" t="n">
        <v>0.4322</v>
      </c>
    </row>
  </sheetData>
  <autoFilter ref="A4:E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</cols>
  <sheetData>
    <row r="1">
      <c r="A1" s="1" t="inlineStr">
        <is>
          <t>MVP investment (one-time, ~8 months)</t>
        </is>
      </c>
    </row>
    <row r="3" ht="28" customHeight="1">
      <c r="A3" s="14" t="inlineStr">
        <is>
          <t>Line item</t>
        </is>
      </c>
      <c r="B3" s="14" t="inlineStr">
        <is>
          <t>USD</t>
        </is>
      </c>
      <c r="C3" s="14" t="inlineStr">
        <is>
          <t>INR</t>
        </is>
      </c>
    </row>
    <row r="4">
      <c r="A4" s="16" t="inlineStr">
        <is>
          <t>Development (lean team)</t>
        </is>
      </c>
      <c r="B4" s="21" t="n">
        <v>207200</v>
      </c>
      <c r="C4" s="21">
        <f>B4*'ASSUMPTIONS'!$B$6</f>
        <v/>
      </c>
    </row>
    <row r="5">
      <c r="A5" s="16" t="inlineStr">
        <is>
          <t>Azure (build ramp)</t>
        </is>
      </c>
      <c r="B5" s="21" t="n">
        <v>7048</v>
      </c>
      <c r="C5" s="21">
        <f>B5*'ASSUMPTIONS'!$B$6</f>
        <v/>
      </c>
    </row>
    <row r="6">
      <c r="A6" s="16" t="inlineStr">
        <is>
          <t>AI dev subscriptions</t>
        </is>
      </c>
      <c r="B6" s="21" t="n">
        <v>8800</v>
      </c>
      <c r="C6" s="21">
        <f>B6*'ASSUMPTIONS'!$B$6</f>
        <v/>
      </c>
    </row>
    <row r="7">
      <c r="A7" s="16" t="inlineStr">
        <is>
          <t>AI API (pilot volume)</t>
        </is>
      </c>
      <c r="B7" s="21" t="n">
        <v>29055</v>
      </c>
      <c r="C7" s="21">
        <f>B7*'ASSUMPTIONS'!$B$6</f>
        <v/>
      </c>
    </row>
    <row r="8">
      <c r="A8" s="16" t="inlineStr">
        <is>
          <t>Security / HIPAA (one-time)</t>
        </is>
      </c>
      <c r="B8" s="21" t="n">
        <v>36000</v>
      </c>
      <c r="C8" s="21">
        <f>B8*'ASSUMPTIONS'!$B$6</f>
        <v/>
      </c>
    </row>
    <row r="9">
      <c r="A9" s="16" t="inlineStr">
        <is>
          <t>Clearinghouse setup</t>
        </is>
      </c>
      <c r="B9" s="21" t="n">
        <v>5000</v>
      </c>
      <c r="C9" s="21">
        <f>B9*'ASSUMPTIONS'!$B$6</f>
        <v/>
      </c>
    </row>
    <row r="10">
      <c r="A10" s="16" t="inlineStr">
        <is>
          <t>Legal (BAA/contracts)</t>
        </is>
      </c>
      <c r="B10" s="21" t="n">
        <v>25000</v>
      </c>
      <c r="C10" s="21">
        <f>B10*'ASSUMPTIONS'!$B$6</f>
        <v/>
      </c>
    </row>
    <row r="11">
      <c r="A11" s="16" t="inlineStr">
        <is>
          <t>Testing</t>
        </is>
      </c>
      <c r="B11" s="21" t="n">
        <v>15000</v>
      </c>
      <c r="C11" s="21">
        <f>B11*'ASSUMPTIONS'!$B$6</f>
        <v/>
      </c>
    </row>
    <row r="12">
      <c r="A12" s="16" t="inlineStr">
        <is>
          <t>Contingency (15%)</t>
        </is>
      </c>
      <c r="B12" s="21" t="n">
        <v>49965</v>
      </c>
      <c r="C12" s="21">
        <f>B12*'ASSUMPTIONS'!$B$6</f>
        <v/>
      </c>
    </row>
    <row r="13">
      <c r="A13" s="19" t="inlineStr">
        <is>
          <t>TOTAL</t>
        </is>
      </c>
      <c r="B13" s="20">
        <f>SUM(B4:B12)</f>
        <v/>
      </c>
      <c r="C13" s="21">
        <f>B13*'ASSUMPTIONS'!$B$6</f>
        <v/>
      </c>
    </row>
  </sheetData>
  <autoFilter ref="A3:C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</cols>
  <sheetData>
    <row r="1">
      <c r="A1" s="1" t="inlineStr">
        <is>
          <t>Pilot phase (incremental)</t>
        </is>
      </c>
    </row>
    <row r="3" ht="28" customHeight="1">
      <c r="A3" s="14" t="inlineStr">
        <is>
          <t>Line item</t>
        </is>
      </c>
      <c r="B3" s="14" t="inlineStr">
        <is>
          <t>USD</t>
        </is>
      </c>
      <c r="C3" s="14" t="inlineStr">
        <is>
          <t>INR</t>
        </is>
      </c>
    </row>
    <row r="4">
      <c r="A4" s="16" t="inlineStr">
        <is>
          <t>Design-partner enablement</t>
        </is>
      </c>
      <c r="B4" s="21" t="n">
        <v>20000</v>
      </c>
      <c r="C4" s="21">
        <f>B4*'ASSUMPTIONS'!$B$6</f>
        <v/>
      </c>
    </row>
    <row r="5">
      <c r="A5" s="16" t="inlineStr">
        <is>
          <t>Azure (MVP tier × 3 mo)</t>
        </is>
      </c>
      <c r="B5" s="21" t="n">
        <v>4131</v>
      </c>
      <c r="C5" s="21">
        <f>B5*'ASSUMPTIONS'!$B$6</f>
        <v/>
      </c>
    </row>
    <row r="6">
      <c r="A6" s="16" t="inlineStr">
        <is>
          <t>AI runtime (pilot × 3 mo)</t>
        </is>
      </c>
      <c r="B6" s="21" t="n">
        <v>29055</v>
      </c>
      <c r="C6" s="21">
        <f>B6*'ASSUMPTIONS'!$B$6</f>
        <v/>
      </c>
    </row>
    <row r="7">
      <c r="A7" s="16" t="inlineStr">
        <is>
          <t>Security monitoring</t>
        </is>
      </c>
      <c r="B7" s="21" t="n">
        <v>15000</v>
      </c>
      <c r="C7" s="21">
        <f>B7*'ASSUMPTIONS'!$B$6</f>
        <v/>
      </c>
    </row>
    <row r="8">
      <c r="A8" s="16" t="inlineStr">
        <is>
          <t>Support</t>
        </is>
      </c>
      <c r="B8" s="21" t="n">
        <v>10000</v>
      </c>
      <c r="C8" s="21">
        <f>B8*'ASSUMPTIONS'!$B$6</f>
        <v/>
      </c>
    </row>
    <row r="9">
      <c r="A9" s="19" t="inlineStr">
        <is>
          <t>TOTAL</t>
        </is>
      </c>
      <c r="B9" s="20">
        <f>SUM(B4:B8)</f>
        <v/>
      </c>
      <c r="C9" s="21">
        <f>B9*'ASSUMPTIONS'!$B$6</f>
        <v/>
      </c>
    </row>
  </sheetData>
  <autoFilter ref="A3:C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</cols>
  <sheetData>
    <row r="1">
      <c r="A1" s="1" t="inlineStr">
        <is>
          <t>Production readiness (incremental)</t>
        </is>
      </c>
    </row>
    <row r="3" ht="28" customHeight="1">
      <c r="A3" s="14" t="inlineStr">
        <is>
          <t>Line item</t>
        </is>
      </c>
      <c r="B3" s="14" t="inlineStr">
        <is>
          <t>USD</t>
        </is>
      </c>
      <c r="C3" s="14" t="inlineStr">
        <is>
          <t>INR</t>
        </is>
      </c>
    </row>
    <row r="4">
      <c r="A4" s="16" t="inlineStr">
        <is>
          <t>Development to production</t>
        </is>
      </c>
      <c r="B4" s="21" t="n">
        <v>189933</v>
      </c>
      <c r="C4" s="21">
        <f>B4*'ASSUMPTIONS'!$B$6</f>
        <v/>
      </c>
    </row>
    <row r="5">
      <c r="A5" s="16" t="inlineStr">
        <is>
          <t>Azure (Medium × 6 mo)</t>
        </is>
      </c>
      <c r="B5" s="21" t="n">
        <v>43056</v>
      </c>
      <c r="C5" s="21">
        <f>B5*'ASSUMPTIONS'!$B$6</f>
        <v/>
      </c>
    </row>
    <row r="6">
      <c r="A6" s="16" t="inlineStr">
        <is>
          <t>AI runtime (Medium × 6 mo)</t>
        </is>
      </c>
      <c r="B6" s="21" t="n">
        <v>578100</v>
      </c>
      <c r="C6" s="21">
        <f>B6*'ASSUMPTIONS'!$B$6</f>
        <v/>
      </c>
    </row>
    <row r="7">
      <c r="A7" s="16" t="inlineStr">
        <is>
          <t>SOC 2 Type II</t>
        </is>
      </c>
      <c r="B7" s="21" t="n">
        <v>50000</v>
      </c>
      <c r="C7" s="21">
        <f>B7*'ASSUMPTIONS'!$B$6</f>
        <v/>
      </c>
    </row>
    <row r="8">
      <c r="A8" s="16" t="inlineStr">
        <is>
          <t>Pen test (annual)</t>
        </is>
      </c>
      <c r="B8" s="21" t="n">
        <v>18000</v>
      </c>
      <c r="C8" s="21">
        <f>B8*'ASSUMPTIONS'!$B$6</f>
        <v/>
      </c>
    </row>
    <row r="9">
      <c r="A9" s="16" t="inlineStr">
        <is>
          <t>DR + monitoring</t>
        </is>
      </c>
      <c r="B9" s="21" t="n">
        <v>20000</v>
      </c>
      <c r="C9" s="21">
        <f>B9*'ASSUMPTIONS'!$B$6</f>
        <v/>
      </c>
    </row>
    <row r="10">
      <c r="A10" s="19" t="inlineStr">
        <is>
          <t>TOTAL</t>
        </is>
      </c>
      <c r="B10" s="20">
        <f>SUM(B4:B9)</f>
        <v/>
      </c>
      <c r="C10" s="21">
        <f>B10*'ASSUMPTIONS'!$B$6</f>
        <v/>
      </c>
    </row>
  </sheetData>
  <autoFilter ref="A3:C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</cols>
  <sheetData>
    <row r="1">
      <c r="A1" s="1" t="inlineStr">
        <is>
          <t>12-month budget</t>
        </is>
      </c>
    </row>
    <row r="3" ht="28" customHeight="1">
      <c r="A3" s="14" t="inlineStr">
        <is>
          <t>Category</t>
        </is>
      </c>
      <c r="B3" s="14" t="inlineStr">
        <is>
          <t>USD</t>
        </is>
      </c>
      <c r="C3" s="14" t="inlineStr">
        <is>
          <t>INR</t>
        </is>
      </c>
    </row>
    <row r="4">
      <c r="A4" s="16" t="inlineStr">
        <is>
          <t>Team (Balanced 8, loaded)</t>
        </is>
      </c>
      <c r="B4" s="21" t="n">
        <v>414400</v>
      </c>
      <c r="C4" s="21">
        <f>B4*'ASSUMPTIONS'!$B$6</f>
        <v/>
      </c>
    </row>
    <row r="5">
      <c r="A5" s="16" t="inlineStr">
        <is>
          <t>Azure (MVP→Medium)</t>
        </is>
      </c>
      <c r="B5" s="21" t="n">
        <v>51318</v>
      </c>
      <c r="C5" s="21">
        <f>B5*'ASSUMPTIONS'!$B$6</f>
        <v/>
      </c>
    </row>
    <row r="6">
      <c r="A6" s="16" t="inlineStr">
        <is>
          <t>AI runtime</t>
        </is>
      </c>
      <c r="B6" s="21" t="n">
        <v>636210</v>
      </c>
      <c r="C6" s="21">
        <f>B6*'ASSUMPTIONS'!$B$6</f>
        <v/>
      </c>
    </row>
    <row r="7">
      <c r="A7" s="16" t="inlineStr">
        <is>
          <t>AI dev subscriptions</t>
        </is>
      </c>
      <c r="B7" s="21" t="n">
        <v>13200</v>
      </c>
      <c r="C7" s="21">
        <f>B7*'ASSUMPTIONS'!$B$6</f>
        <v/>
      </c>
    </row>
    <row r="8">
      <c r="A8" s="16" t="inlineStr">
        <is>
          <t>Security + SOC2 Type I</t>
        </is>
      </c>
      <c r="B8" s="21" t="n">
        <v>138000</v>
      </c>
      <c r="C8" s="21">
        <f>B8*'ASSUMPTIONS'!$B$6</f>
        <v/>
      </c>
    </row>
    <row r="9">
      <c r="A9" s="16" t="inlineStr">
        <is>
          <t>Legal + testing + clearinghouse</t>
        </is>
      </c>
      <c r="B9" s="21" t="n">
        <v>45000</v>
      </c>
      <c r="C9" s="21">
        <f>B9*'ASSUMPTIONS'!$B$6</f>
        <v/>
      </c>
    </row>
    <row r="10">
      <c r="A10" s="19" t="inlineStr">
        <is>
          <t>TOTAL (incl. contingency)</t>
        </is>
      </c>
      <c r="B10" s="20" t="n">
        <v>1492847</v>
      </c>
      <c r="C10" s="21">
        <f>B10*'ASSUMPTIONS'!$B$6</f>
        <v/>
      </c>
    </row>
  </sheetData>
  <autoFilter ref="A3:C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</cols>
  <sheetData>
    <row r="1">
      <c r="A1" s="1" t="inlineStr">
        <is>
          <t>24-month budget</t>
        </is>
      </c>
    </row>
    <row r="3" ht="28" customHeight="1">
      <c r="A3" s="14" t="inlineStr">
        <is>
          <t>Category</t>
        </is>
      </c>
      <c r="B3" s="14" t="inlineStr">
        <is>
          <t>USD</t>
        </is>
      </c>
      <c r="C3" s="14" t="inlineStr">
        <is>
          <t>INR</t>
        </is>
      </c>
    </row>
    <row r="4">
      <c r="A4" s="16" t="inlineStr">
        <is>
          <t>Team (scale to production)</t>
        </is>
      </c>
      <c r="B4" s="21" t="n">
        <v>1038800</v>
      </c>
      <c r="C4" s="21">
        <f>B4*'ASSUMPTIONS'!$B$6</f>
        <v/>
      </c>
    </row>
    <row r="5">
      <c r="A5" s="16" t="inlineStr">
        <is>
          <t>Azure (Medium × 24 mo)</t>
        </is>
      </c>
      <c r="B5" s="21" t="n">
        <v>172224</v>
      </c>
      <c r="C5" s="21">
        <f>B5*'ASSUMPTIONS'!$B$6</f>
        <v/>
      </c>
    </row>
    <row r="6">
      <c r="A6" s="16" t="inlineStr">
        <is>
          <t>AI runtime (Medium × 24 mo)</t>
        </is>
      </c>
      <c r="B6" s="21" t="n">
        <v>2312400</v>
      </c>
      <c r="C6" s="21">
        <f>B6*'ASSUMPTIONS'!$B$6</f>
        <v/>
      </c>
    </row>
    <row r="7">
      <c r="A7" s="16" t="inlineStr">
        <is>
          <t>AI dev subscriptions × 24 mo</t>
        </is>
      </c>
      <c r="B7" s="21" t="n">
        <v>26400</v>
      </c>
      <c r="C7" s="21">
        <f>B7*'ASSUMPTIONS'!$B$6</f>
        <v/>
      </c>
    </row>
    <row r="8">
      <c r="A8" s="16" t="inlineStr">
        <is>
          <t>Security + SOC2 Type II</t>
        </is>
      </c>
      <c r="B8" s="21" t="n">
        <v>162000</v>
      </c>
      <c r="C8" s="21">
        <f>B8*'ASSUMPTIONS'!$B$6</f>
        <v/>
      </c>
    </row>
    <row r="9">
      <c r="A9" s="16" t="inlineStr">
        <is>
          <t>Legal + testing × 2</t>
        </is>
      </c>
      <c r="B9" s="21" t="n">
        <v>90000</v>
      </c>
      <c r="C9" s="21">
        <f>B9*'ASSUMPTIONS'!$B$6</f>
        <v/>
      </c>
    </row>
    <row r="10">
      <c r="A10" s="19" t="inlineStr">
        <is>
          <t>TOTAL (incl. contingency)</t>
        </is>
      </c>
      <c r="B10" s="20" t="n">
        <v>4450298</v>
      </c>
      <c r="C10" s="21">
        <f>B10*'ASSUMPTIONS'!$B$6</f>
        <v/>
      </c>
    </row>
  </sheetData>
  <autoFilter ref="A3:C3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1" t="inlineStr">
        <is>
          <t>Provider-only commercial model</t>
        </is>
      </c>
    </row>
    <row r="2">
      <c r="A2" s="3" t="inlineStr">
        <is>
          <t>Illustrative gross-margin structure; validate with pricing pilots.</t>
        </is>
      </c>
    </row>
    <row r="4" ht="28" customHeight="1">
      <c r="A4" s="14" t="inlineStr">
        <is>
          <t>Cost component</t>
        </is>
      </c>
      <c r="B4" s="14" t="inlineStr">
        <is>
          <t>Nature</t>
        </is>
      </c>
    </row>
    <row r="5">
      <c r="A5" s="15" t="inlineStr">
        <is>
          <t>Infrastructure (Azure)</t>
        </is>
      </c>
      <c r="B5" s="15" t="inlineStr">
        <is>
          <t>Variable with claims volume</t>
        </is>
      </c>
    </row>
    <row r="6">
      <c r="A6" s="15" t="inlineStr">
        <is>
          <t>AI runtime</t>
        </is>
      </c>
      <c r="B6" s="15" t="inlineStr">
        <is>
          <t>Variable per claim</t>
        </is>
      </c>
    </row>
    <row r="7">
      <c r="A7" s="15" t="inlineStr">
        <is>
          <t>Security/compliance</t>
        </is>
      </c>
      <c r="B7" s="15" t="inlineStr">
        <is>
          <t>Fixed + annual</t>
        </is>
      </c>
    </row>
    <row r="8">
      <c r="A8" s="15" t="inlineStr">
        <is>
          <t>Clearinghouse/integration</t>
        </is>
      </c>
      <c r="B8" s="15" t="inlineStr">
        <is>
          <t>Variable (per txn) — Stedi free tier for MVP</t>
        </is>
      </c>
    </row>
    <row r="9">
      <c r="A9" s="15" t="inlineStr">
        <is>
          <t>Support</t>
        </is>
      </c>
      <c r="B9" s="15" t="inlineStr">
        <is>
          <t>Semi-fixed</t>
        </is>
      </c>
    </row>
    <row r="10">
      <c r="A10" s="15" t="inlineStr">
        <is>
          <t>Gross margin</t>
        </is>
      </c>
      <c r="B10" s="15" t="inlineStr">
        <is>
          <t>Target 70–80% at scale (SaaS + usage)</t>
        </is>
      </c>
    </row>
  </sheetData>
  <autoFilter ref="A4:B4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1" t="inlineStr">
        <is>
          <t>Payer-only commercial model</t>
        </is>
      </c>
    </row>
    <row r="2">
      <c r="A2" s="3" t="inlineStr">
        <is>
          <t>Illustrative gross-margin structure; validate with pricing pilots.</t>
        </is>
      </c>
    </row>
    <row r="4" ht="28" customHeight="1">
      <c r="A4" s="14" t="inlineStr">
        <is>
          <t>Cost component</t>
        </is>
      </c>
      <c r="B4" s="14" t="inlineStr">
        <is>
          <t>Nature</t>
        </is>
      </c>
    </row>
    <row r="5">
      <c r="A5" s="15" t="inlineStr">
        <is>
          <t>Infrastructure</t>
        </is>
      </c>
      <c r="B5" s="15" t="inlineStr">
        <is>
          <t>Fixed + variable</t>
        </is>
      </c>
    </row>
    <row r="6">
      <c r="A6" s="15" t="inlineStr">
        <is>
          <t>Security/compliance</t>
        </is>
      </c>
      <c r="B6" s="15" t="inlineStr">
        <is>
          <t>Higher (payer trust, delegation)</t>
        </is>
      </c>
    </row>
    <row r="7">
      <c r="A7" s="15" t="inlineStr">
        <is>
          <t>Integration</t>
        </is>
      </c>
      <c r="B7" s="15" t="inlineStr">
        <is>
          <t>Enterprise, per-payer</t>
        </is>
      </c>
    </row>
    <row r="8">
      <c r="A8" s="15" t="inlineStr">
        <is>
          <t>AI runtime</t>
        </is>
      </c>
      <c r="B8" s="15" t="inlineStr">
        <is>
          <t>Variable</t>
        </is>
      </c>
    </row>
    <row r="9">
      <c r="A9" s="15" t="inlineStr">
        <is>
          <t>Human oversight</t>
        </is>
      </c>
      <c r="B9" s="15" t="inlineStr">
        <is>
          <t>Required for regulated functions</t>
        </is>
      </c>
    </row>
    <row r="10">
      <c r="A10" s="15" t="inlineStr">
        <is>
          <t>Gross margin</t>
        </is>
      </c>
      <c r="B10" s="15" t="inlineStr">
        <is>
          <t>Target 60–75% (enterprise, longer cycles)</t>
        </is>
      </c>
    </row>
  </sheetData>
  <autoFilter ref="A4:B4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1" t="inlineStr">
        <is>
          <t>Combined provider + payer model</t>
        </is>
      </c>
    </row>
    <row r="2">
      <c r="A2" s="3" t="inlineStr">
        <is>
          <t>Illustrative gross-margin structure; validate with pricing pilots.</t>
        </is>
      </c>
    </row>
    <row r="4" ht="28" customHeight="1">
      <c r="A4" s="14" t="inlineStr">
        <is>
          <t>Cost component</t>
        </is>
      </c>
      <c r="B4" s="14" t="inlineStr">
        <is>
          <t>Nature</t>
        </is>
      </c>
    </row>
    <row r="5">
      <c r="A5" s="15" t="inlineStr">
        <is>
          <t>Shared platform</t>
        </is>
      </c>
      <c r="B5" s="15" t="inlineStr">
        <is>
          <t>One codebase, amortized build</t>
        </is>
      </c>
    </row>
    <row r="6">
      <c r="A6" s="15" t="inlineStr">
        <is>
          <t>Tenant isolation</t>
        </is>
      </c>
      <c r="B6" s="15" t="inlineStr">
        <is>
          <t>Adds engineering + possibly dedicated infra (enterprise)</t>
        </is>
      </c>
    </row>
    <row r="7">
      <c r="A7" s="15" t="inlineStr">
        <is>
          <t>Integration</t>
        </is>
      </c>
      <c r="B7" s="15" t="inlineStr">
        <is>
          <t>Both sides</t>
        </is>
      </c>
    </row>
    <row r="8">
      <c r="A8" s="15" t="inlineStr">
        <is>
          <t>Compliance</t>
        </is>
      </c>
      <c r="B8" s="15" t="inlineStr">
        <is>
          <t>Highest (both parties)</t>
        </is>
      </c>
    </row>
    <row r="9">
      <c r="A9" s="15" t="inlineStr">
        <is>
          <t>Gross margin</t>
        </is>
      </c>
      <c r="B9" s="15" t="inlineStr">
        <is>
          <t>Blended 65–78%; strongest LTV via cross-side data network effects (governed)</t>
        </is>
      </c>
    </row>
  </sheetData>
  <autoFilter ref="A4:B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48" customWidth="1" min="3" max="3"/>
  </cols>
  <sheetData>
    <row r="1">
      <c r="A1" s="1" t="inlineStr">
        <is>
          <t>Build / Buy / Partner</t>
        </is>
      </c>
    </row>
    <row r="3" ht="28" customHeight="1">
      <c r="A3" s="14" t="inlineStr">
        <is>
          <t>Capability</t>
        </is>
      </c>
      <c r="B3" s="14" t="inlineStr">
        <is>
          <t>Decision</t>
        </is>
      </c>
      <c r="C3" s="14" t="inlineStr">
        <is>
          <t>Rationale</t>
        </is>
      </c>
    </row>
    <row r="4">
      <c r="A4" s="15" t="inlineStr">
        <is>
          <t>Payer connectivity (EDI/API)</t>
        </is>
      </c>
      <c r="B4" s="15" t="inlineStr">
        <is>
          <t>BUY/PARTNER</t>
        </is>
      </c>
      <c r="C4" s="15" t="inlineStr">
        <is>
          <t>Clearinghouse (Stedi/Optum/Availity)</t>
        </is>
      </c>
    </row>
    <row r="5">
      <c r="A5" s="15" t="inlineStr">
        <is>
          <t>Denial/appeal/estimation intelligence</t>
        </is>
      </c>
      <c r="B5" s="15" t="inlineStr">
        <is>
          <t>BUILD</t>
        </is>
      </c>
      <c r="C5" s="15" t="inlineStr">
        <is>
          <t>Proprietary value</t>
        </is>
      </c>
    </row>
    <row r="6">
      <c r="A6" s="15" t="inlineStr">
        <is>
          <t>Payer Intelligence + Orchestration</t>
        </is>
      </c>
      <c r="B6" s="15" t="inlineStr">
        <is>
          <t>BUILD</t>
        </is>
      </c>
      <c r="C6" s="15" t="inlineStr">
        <is>
          <t>The moat</t>
        </is>
      </c>
    </row>
    <row r="7">
      <c r="A7" s="15" t="inlineStr">
        <is>
          <t>AI voice</t>
        </is>
      </c>
      <c r="B7" s="15" t="inlineStr">
        <is>
          <t>BUY/INTEGRATE</t>
        </is>
      </c>
      <c r="C7" s="15" t="inlineStr">
        <is>
          <t>Voice provider under BAA</t>
        </is>
      </c>
    </row>
    <row r="8">
      <c r="A8" s="15" t="inlineStr">
        <is>
          <t>Cloud/security primitives</t>
        </is>
      </c>
      <c r="B8" s="15" t="inlineStr">
        <is>
          <t>BUY</t>
        </is>
      </c>
      <c r="C8" s="15" t="inlineStr">
        <is>
          <t>Azure managed services</t>
        </is>
      </c>
    </row>
    <row r="9">
      <c r="A9" s="15" t="inlineStr">
        <is>
          <t>Coverage criteria (InterQual/MCG)</t>
        </is>
      </c>
      <c r="B9" s="15" t="inlineStr">
        <is>
          <t>PARTNER/LICENSE</t>
        </is>
      </c>
      <c r="C9" s="15" t="inlineStr">
        <is>
          <t>License-gated</t>
        </is>
      </c>
    </row>
    <row r="10">
      <c r="A10" s="15" t="inlineStr">
        <is>
          <t>Payer-side adjudication</t>
        </is>
      </c>
      <c r="B10" s="15" t="inlineStr">
        <is>
          <t>PARTNER/REGULATED</t>
        </is>
      </c>
      <c r="C10" s="15" t="inlineStr">
        <is>
          <t>Decision-support only; legal review</t>
        </is>
      </c>
    </row>
  </sheetData>
  <autoFilter ref="A3:C3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Risks</t>
        </is>
      </c>
    </row>
    <row r="3" ht="28" customHeight="1">
      <c r="A3" s="14" t="inlineStr">
        <is>
          <t>Risk</t>
        </is>
      </c>
      <c r="B3" s="14" t="inlineStr">
        <is>
          <t>Mitigation</t>
        </is>
      </c>
    </row>
    <row r="4">
      <c r="A4" s="15" t="inlineStr">
        <is>
          <t>Clearinghouse per-txn pricing opacity</t>
        </is>
      </c>
      <c r="B4" s="15" t="inlineStr">
        <is>
          <t>Capture Stedi cents; start on free tier; multi-vendor</t>
        </is>
      </c>
    </row>
    <row r="5">
      <c r="A5" s="15" t="inlineStr">
        <is>
          <t>AI decision-limit regulation (CMS-4201-F, SB 1120)</t>
        </is>
      </c>
      <c r="B5" s="15" t="inlineStr">
        <is>
          <t>Human-in-the-loop; AI decision-support only</t>
        </is>
      </c>
    </row>
    <row r="6">
      <c r="A6" s="15" t="inlineStr">
        <is>
          <t>PHI/security incident</t>
        </is>
      </c>
      <c r="B6" s="15" t="inlineStr">
        <is>
          <t>Zero Trust, encryption, private networking, SIEM, IR readiness</t>
        </is>
      </c>
    </row>
    <row r="7">
      <c r="A7" s="15" t="inlineStr">
        <is>
          <t>Tenant data leakage</t>
        </is>
      </c>
      <c r="B7" s="15" t="inlineStr">
        <is>
          <t>RLS + app authz + isolation testing</t>
        </is>
      </c>
    </row>
    <row r="8">
      <c r="A8" s="15" t="inlineStr">
        <is>
          <t>Payer onboarding delays</t>
        </is>
      </c>
      <c r="B8" s="15" t="inlineStr">
        <is>
          <t>Clearinghouse reach; portal/voice fallback</t>
        </is>
      </c>
    </row>
    <row r="9">
      <c r="A9" s="15" t="inlineStr">
        <is>
          <t>AI cost overrun</t>
        </is>
      </c>
      <c r="B9" s="15" t="inlineStr">
        <is>
          <t>Model routing, caching, batch; per-claim budget guardrails</t>
        </is>
      </c>
    </row>
    <row r="10">
      <c r="A10" s="15" t="inlineStr">
        <is>
          <t>Talent/timeline</t>
        </is>
      </c>
      <c r="B10" s="15" t="inlineStr">
        <is>
          <t>AI productivity uplift; realistic plan; contingency 15%</t>
        </is>
      </c>
    </row>
    <row r="11">
      <c r="A11" s="15" t="inlineStr">
        <is>
          <t>Compliance cost</t>
        </is>
      </c>
      <c r="B11" s="15" t="inlineStr">
        <is>
          <t>Phase SOC2 → HITRUST; tooling automation</t>
        </is>
      </c>
    </row>
  </sheetData>
  <autoFilter ref="A3:B3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4" customWidth="1" min="2" max="2"/>
  </cols>
  <sheetData>
    <row r="1">
      <c r="A1" s="1" t="inlineStr">
        <is>
          <t>Security controls</t>
        </is>
      </c>
    </row>
    <row r="3" ht="28" customHeight="1">
      <c r="A3" s="14" t="inlineStr">
        <is>
          <t>Domain</t>
        </is>
      </c>
      <c r="B3" s="14" t="inlineStr">
        <is>
          <t>Controls</t>
        </is>
      </c>
    </row>
    <row r="4">
      <c r="A4" s="15" t="inlineStr">
        <is>
          <t>Identity</t>
        </is>
      </c>
      <c r="B4" s="15" t="inlineStr">
        <is>
          <t>Entra ID, MFA, Conditional Access, PIM/JIT, Managed Identity</t>
        </is>
      </c>
    </row>
    <row r="5">
      <c r="A5" s="15" t="inlineStr">
        <is>
          <t>Network</t>
        </is>
      </c>
      <c r="B5" s="15" t="inlineStr">
        <is>
          <t>Hub-spoke, Private Link/Endpoints, Firewall, WAF, DDoS, no public DB</t>
        </is>
      </c>
    </row>
    <row r="6">
      <c r="A6" s="15" t="inlineStr">
        <is>
          <t>Data</t>
        </is>
      </c>
      <c r="B6" s="15" t="inlineStr">
        <is>
          <t>TLS 1.2+, AES-256 at rest, Key Vault/CMK, HSM (where justified), RLS</t>
        </is>
      </c>
    </row>
    <row r="7">
      <c r="A7" s="15" t="inlineStr">
        <is>
          <t>AI</t>
        </is>
      </c>
      <c r="B7" s="15" t="inlineStr">
        <is>
          <t>AI Gateway: PHI detection → policy → redaction → approved model → validation → audit</t>
        </is>
      </c>
    </row>
    <row r="8">
      <c r="A8" s="15" t="inlineStr">
        <is>
          <t>Monitoring</t>
        </is>
      </c>
      <c r="B8" s="15" t="inlineStr">
        <is>
          <t>Defender for Cloud, Sentinel SIEM, Monitor/App Insights, immutable audit</t>
        </is>
      </c>
    </row>
    <row r="9">
      <c r="A9" s="15" t="inlineStr">
        <is>
          <t>SDLC</t>
        </is>
      </c>
      <c r="B9" s="15" t="inlineStr">
        <is>
          <t>SAST/DAST/SCA/secret/container/IaC scanning; protected main; PR review</t>
        </is>
      </c>
    </row>
    <row r="10">
      <c r="A10" s="15" t="inlineStr">
        <is>
          <t>Governance</t>
        </is>
      </c>
      <c r="B10" s="15" t="inlineStr">
        <is>
          <t>Least privilege (humans + AI agents); high-risk actions human-approved</t>
        </is>
      </c>
    </row>
  </sheetData>
  <autoFilter ref="A3:B3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72" customWidth="1" min="2" max="2"/>
  </cols>
  <sheetData>
    <row r="1">
      <c r="A1" s="1" t="inlineStr">
        <is>
          <t>PHI data flow (AI Gateway)</t>
        </is>
      </c>
    </row>
    <row r="2">
      <c r="A2" s="3" t="inlineStr">
        <is>
          <t>Dev uses synthetic/de-identified data only. Production PHI via approved services under BAA.</t>
        </is>
      </c>
    </row>
    <row r="4" ht="28" customHeight="1">
      <c r="A4" s="14" t="inlineStr">
        <is>
          <t>Step</t>
        </is>
      </c>
      <c r="B4" s="14" t="inlineStr">
        <is>
          <t>Action</t>
        </is>
      </c>
    </row>
    <row r="5">
      <c r="A5" s="15" t="inlineStr">
        <is>
          <t>1 Ingress</t>
        </is>
      </c>
      <c r="B5" s="15" t="inlineStr">
        <is>
          <t>Authenticated request (Entra) over TLS</t>
        </is>
      </c>
    </row>
    <row r="6">
      <c r="A6" s="15" t="inlineStr">
        <is>
          <t>2 PHI detection</t>
        </is>
      </c>
      <c r="B6" s="15" t="inlineStr">
        <is>
          <t>Classify &amp; detect PHI in payload</t>
        </is>
      </c>
    </row>
    <row r="7">
      <c r="A7" s="15" t="inlineStr">
        <is>
          <t>3 Policy engine</t>
        </is>
      </c>
      <c r="B7" s="15" t="inlineStr">
        <is>
          <t>Apply tenant + PHI policy; decide model + redaction</t>
        </is>
      </c>
    </row>
    <row r="8">
      <c r="A8" s="15" t="inlineStr">
        <is>
          <t>4 Redaction/tokenization</t>
        </is>
      </c>
      <c r="B8" s="15" t="inlineStr">
        <is>
          <t>Where appropriate before model call</t>
        </is>
      </c>
    </row>
    <row r="9">
      <c r="A9" s="15" t="inlineStr">
        <is>
          <t>5 Approved model</t>
        </is>
      </c>
      <c r="B9" s="15" t="inlineStr">
        <is>
          <t>Azure OpenAI (BAA) for PHI path; provider-agnostic gateway</t>
        </is>
      </c>
    </row>
    <row r="10">
      <c r="A10" s="15" t="inlineStr">
        <is>
          <t>6 Response validation</t>
        </is>
      </c>
      <c r="B10" s="15" t="inlineStr">
        <is>
          <t>Validate output; confidence scoring</t>
        </is>
      </c>
    </row>
    <row r="11">
      <c r="A11" s="15" t="inlineStr">
        <is>
          <t>7 Audit</t>
        </is>
      </c>
      <c r="B11" s="15" t="inlineStr">
        <is>
          <t>Immutable log: input refs, decision, model, confidence, approver</t>
        </is>
      </c>
    </row>
  </sheetData>
  <autoFilter ref="A4:B4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66" customWidth="1" min="2" max="2"/>
    <col width="10" customWidth="1" min="3" max="3"/>
    <col width="54" customWidth="1" min="4" max="4"/>
  </cols>
  <sheetData>
    <row r="1">
      <c r="A1" s="1" t="inlineStr">
        <is>
          <t>Disaster recovery &amp; business continuity</t>
        </is>
      </c>
    </row>
    <row r="3" ht="28" customHeight="1">
      <c r="A3" s="14" t="inlineStr">
        <is>
          <t>Tier</t>
        </is>
      </c>
      <c r="B3" s="14" t="inlineStr">
        <is>
          <t>RPO</t>
        </is>
      </c>
      <c r="C3" s="14" t="inlineStr">
        <is>
          <t>RTO</t>
        </is>
      </c>
      <c r="D3" s="14" t="inlineStr">
        <is>
          <t>Measures</t>
        </is>
      </c>
    </row>
    <row r="4">
      <c r="A4" s="15" t="inlineStr">
        <is>
          <t>MVP</t>
        </is>
      </c>
      <c r="B4" s="15" t="inlineStr">
        <is>
          <t>≤ 24h</t>
        </is>
      </c>
      <c r="C4" s="15" t="inlineStr">
        <is>
          <t>≤ 8h</t>
        </is>
      </c>
      <c r="D4" s="15" t="inlineStr">
        <is>
          <t>Backups, PITR</t>
        </is>
      </c>
    </row>
    <row r="5">
      <c r="A5" s="15" t="inlineStr">
        <is>
          <t>Production</t>
        </is>
      </c>
      <c r="B5" s="15" t="inlineStr">
        <is>
          <t>≤ 1h</t>
        </is>
      </c>
      <c r="C5" s="15" t="inlineStr">
        <is>
          <t>≤ 4h</t>
        </is>
      </c>
      <c r="D5" s="15" t="inlineStr">
        <is>
          <t>Geo-redundancy, failover, DR testing</t>
        </is>
      </c>
    </row>
    <row r="6">
      <c r="A6" s="15" t="inlineStr">
        <is>
          <t>Enterprise</t>
        </is>
      </c>
      <c r="B6" s="15" t="inlineStr">
        <is>
          <t>≤ 15m</t>
        </is>
      </c>
      <c r="C6" s="15" t="inlineStr">
        <is>
          <t>≤ 1h</t>
        </is>
      </c>
      <c r="D6" s="15" t="inlineStr">
        <is>
          <t>Active-passive multi-region, ransomware recovery</t>
        </is>
      </c>
    </row>
    <row r="8" ht="28" customHeight="1">
      <c r="A8" s="14" t="inlineStr">
        <is>
          <t>Continuity scenario</t>
        </is>
      </c>
      <c r="B8" s="14" t="inlineStr">
        <is>
          <t>Response</t>
        </is>
      </c>
    </row>
    <row r="9">
      <c r="A9" s="15" t="inlineStr">
        <is>
          <t>AI provider outage</t>
        </is>
      </c>
      <c r="B9" s="15" t="inlineStr">
        <is>
          <t>Fallback: primary → secondary model → rules → human</t>
        </is>
      </c>
    </row>
    <row r="10">
      <c r="A10" s="15" t="inlineStr">
        <is>
          <t>Clearinghouse/payer API outage</t>
        </is>
      </c>
      <c r="B10" s="15" t="inlineStr">
        <is>
          <t>Alternate channel; queue &amp; retry; portal/voice</t>
        </is>
      </c>
    </row>
    <row r="11">
      <c r="A11" s="15" t="inlineStr">
        <is>
          <t>Azure/DB outage</t>
        </is>
      </c>
      <c r="B11" s="15" t="inlineStr">
        <is>
          <t>Failover, restore from PITR/geo-backup</t>
        </is>
      </c>
    </row>
    <row r="12">
      <c r="A12" s="15" t="inlineStr">
        <is>
          <t>Cyberattack/ransomware</t>
        </is>
      </c>
      <c r="B12" s="15" t="inlineStr">
        <is>
          <t>IR plan, isolation, immutable backups, restore</t>
        </is>
      </c>
    </row>
  </sheetData>
  <autoFilter ref="A8:B8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78" customWidth="1" min="2" max="2"/>
  </cols>
  <sheetData>
    <row r="1">
      <c r="A1" s="1" t="inlineStr">
        <is>
          <t>AI agent governance</t>
        </is>
      </c>
    </row>
    <row r="2">
      <c r="A2" s="3" t="inlineStr">
        <is>
          <t>Agents are privileged software identities, not employees.</t>
        </is>
      </c>
    </row>
    <row r="4" ht="28" customHeight="1">
      <c r="A4" s="14" t="inlineStr">
        <is>
          <t>Control</t>
        </is>
      </c>
      <c r="B4" s="14" t="inlineStr">
        <is>
          <t>Detail</t>
        </is>
      </c>
    </row>
    <row r="5">
      <c r="A5" s="15" t="inlineStr">
        <is>
          <t>Agent identity</t>
        </is>
      </c>
      <c r="B5" s="15" t="inlineStr">
        <is>
          <t>Each agent has an identity + scoped permissions</t>
        </is>
      </c>
    </row>
    <row r="6">
      <c r="A6" s="15" t="inlineStr">
        <is>
          <t>Permissions</t>
        </is>
      </c>
      <c r="B6" s="15" t="inlineStr">
        <is>
          <t>Tool / data / tenant / action — least privilege</t>
        </is>
      </c>
    </row>
    <row r="7">
      <c r="A7" s="15" t="inlineStr">
        <is>
          <t>No unrestricted access</t>
        </is>
      </c>
      <c r="B7" s="15" t="inlineStr">
        <is>
          <t>No prod DB, prod deploy, or PHI without controls</t>
        </is>
      </c>
    </row>
    <row r="8">
      <c r="A8" s="15" t="inlineStr">
        <is>
          <t>Human approval gates</t>
        </is>
      </c>
      <c r="B8" s="15" t="inlineStr">
        <is>
          <t>Prod deploy, DB/IAM/security/PHI changes, deletions, and any adjudication/medical-necessity/coverage/financial decision</t>
        </is>
      </c>
    </row>
    <row r="9">
      <c r="A9" s="15" t="inlineStr">
        <is>
          <t>Audit</t>
        </is>
      </c>
      <c r="B9" s="15" t="inlineStr">
        <is>
          <t>Every agent action logged (input, decision, reason, confidence, channel, approver)</t>
        </is>
      </c>
    </row>
  </sheetData>
  <autoFilter ref="A4:B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66" customWidth="1" min="2" max="2"/>
    <col width="14" customWidth="1" min="3" max="3"/>
  </cols>
  <sheetData>
    <row r="1">
      <c r="A1" s="1" t="inlineStr">
        <is>
          <t>Sources &amp; evidence</t>
        </is>
      </c>
    </row>
    <row r="2">
      <c r="A2" s="3" t="inlineStr">
        <is>
          <t>Prices are 2026 researched figures; verify live before board commitment. Quote-only items not invented.</t>
        </is>
      </c>
    </row>
    <row r="4" ht="28" customHeight="1">
      <c r="A4" s="14" t="inlineStr">
        <is>
          <t>Item</t>
        </is>
      </c>
      <c r="B4" s="14" t="inlineStr">
        <is>
          <t>URL</t>
        </is>
      </c>
      <c r="C4" s="14" t="inlineStr">
        <is>
          <t>Confidence</t>
        </is>
      </c>
    </row>
    <row r="5">
      <c r="A5" s="15" t="inlineStr">
        <is>
          <t>Anthropic Claude Max plan</t>
        </is>
      </c>
      <c r="B5" s="24" t="inlineStr">
        <is>
          <t>https://support.claude.com/en/articles/11049741-what-is-the-max-plan</t>
        </is>
      </c>
      <c r="C5" s="15" t="inlineStr">
        <is>
          <t>High</t>
        </is>
      </c>
    </row>
    <row r="6">
      <c r="A6" s="15" t="inlineStr">
        <is>
          <t>Anthropic Claude Team plan</t>
        </is>
      </c>
      <c r="B6" s="24" t="inlineStr">
        <is>
          <t>https://support.claude.com/en/articles/9266767-what-is-the-team-plan</t>
        </is>
      </c>
      <c r="C6" s="15" t="inlineStr">
        <is>
          <t>High</t>
        </is>
      </c>
    </row>
    <row r="7">
      <c r="A7" s="15" t="inlineStr">
        <is>
          <t>Anthropic Claude Enterprise billing</t>
        </is>
      </c>
      <c r="B7" s="24" t="inlineStr">
        <is>
          <t>https://support.claude.com/en/articles/11526368</t>
        </is>
      </c>
      <c r="C7" s="15" t="inlineStr">
        <is>
          <t>Med-High</t>
        </is>
      </c>
    </row>
    <row r="8">
      <c r="A8" s="15" t="inlineStr">
        <is>
          <t>Claude Code with Pro/Max</t>
        </is>
      </c>
      <c r="B8" s="24" t="inlineStr">
        <is>
          <t>https://support.claude.com/en/articles/11145838</t>
        </is>
      </c>
      <c r="C8" s="15" t="inlineStr">
        <is>
          <t>High</t>
        </is>
      </c>
    </row>
    <row r="9">
      <c r="A9" s="15" t="inlineStr">
        <is>
          <t>OpenAI ChatGPT Business pricing</t>
        </is>
      </c>
      <c r="B9" s="24" t="inlineStr">
        <is>
          <t>https://openai.com/business/pricing/</t>
        </is>
      </c>
      <c r="C9" s="15" t="inlineStr">
        <is>
          <t>High</t>
        </is>
      </c>
    </row>
    <row r="10">
      <c r="A10" s="15" t="inlineStr">
        <is>
          <t>OpenAI ChatGPT Enterprise (quote-only)</t>
        </is>
      </c>
      <c r="B10" s="24" t="inlineStr">
        <is>
          <t>https://openai.com/chatgpt/enterprise/</t>
        </is>
      </c>
      <c r="C10" s="15" t="inlineStr">
        <is>
          <t>High</t>
        </is>
      </c>
    </row>
    <row r="11">
      <c r="A11" s="15" t="inlineStr">
        <is>
          <t>Anthropic API pricing (secondary-corroborated)</t>
        </is>
      </c>
      <c r="B11" s="24" t="inlineStr">
        <is>
          <t>https://claude.com/pricing</t>
        </is>
      </c>
      <c r="C11" s="15" t="inlineStr">
        <is>
          <t>Med</t>
        </is>
      </c>
    </row>
    <row r="12">
      <c r="A12" s="15" t="inlineStr">
        <is>
          <t>OpenAI API pricing</t>
        </is>
      </c>
      <c r="B12" s="24" t="inlineStr">
        <is>
          <t>https://openai.com/api/pricing/</t>
        </is>
      </c>
      <c r="C12" s="15" t="inlineStr">
        <is>
          <t>Med</t>
        </is>
      </c>
    </row>
    <row r="13">
      <c r="A13" s="15" t="inlineStr">
        <is>
          <t>Azure OpenAI Service pricing + HIPAA BAA</t>
        </is>
      </c>
      <c r="B13" s="24" t="inlineStr">
        <is>
          <t>https://azure.microsoft.com/en-us/pricing/details/cognitive-services/openai-service/</t>
        </is>
      </c>
      <c r="C13" s="15" t="inlineStr">
        <is>
          <t>Med</t>
        </is>
      </c>
    </row>
    <row r="14">
      <c r="A14" s="15" t="inlineStr">
        <is>
          <t>Azure OpenAI HIPAA eligibility (Microsoft Learn)</t>
        </is>
      </c>
      <c r="B14" s="24" t="inlineStr">
        <is>
          <t>https://learn.microsoft.com/en-us/azure/compliance/offerings/offering-hipaa-us</t>
        </is>
      </c>
      <c r="C14" s="15" t="inlineStr">
        <is>
          <t>High</t>
        </is>
      </c>
    </row>
    <row r="15">
      <c r="A15" s="15" t="inlineStr">
        <is>
          <t>Azure AI Search pricing</t>
        </is>
      </c>
      <c r="B15" s="24" t="inlineStr">
        <is>
          <t>https://azure.microsoft.com/en-us/pricing/details/search/</t>
        </is>
      </c>
      <c r="C15" s="15" t="inlineStr">
        <is>
          <t>Med</t>
        </is>
      </c>
    </row>
    <row r="16">
      <c r="A16" s="15" t="inlineStr">
        <is>
          <t>Azure Container Apps pricing</t>
        </is>
      </c>
      <c r="B16" s="24" t="inlineStr">
        <is>
          <t>https://azure.microsoft.com/en-us/pricing/details/container-apps/</t>
        </is>
      </c>
      <c r="C16" s="15" t="inlineStr">
        <is>
          <t>High</t>
        </is>
      </c>
    </row>
    <row r="17">
      <c r="A17" s="15" t="inlineStr">
        <is>
          <t>Azure Database for PostgreSQL Flexible Server pricing</t>
        </is>
      </c>
      <c r="B17" s="24" t="inlineStr">
        <is>
          <t>https://azure.microsoft.com/en-us/pricing/details/postgresql/flexible-server/</t>
        </is>
      </c>
      <c r="C17" s="15" t="inlineStr">
        <is>
          <t>Med</t>
        </is>
      </c>
    </row>
    <row r="18">
      <c r="A18" s="15" t="inlineStr">
        <is>
          <t>Azure Front Door pricing</t>
        </is>
      </c>
      <c r="B18" s="24" t="inlineStr">
        <is>
          <t>https://azure.microsoft.com/en-us/pricing/details/frontdoor/</t>
        </is>
      </c>
      <c r="C18" s="15" t="inlineStr">
        <is>
          <t>High</t>
        </is>
      </c>
    </row>
    <row r="19">
      <c r="A19" s="15" t="inlineStr">
        <is>
          <t>Azure API Management pricing</t>
        </is>
      </c>
      <c r="B19" s="24" t="inlineStr">
        <is>
          <t>https://azure.microsoft.com/en-us/pricing/details/api-management/</t>
        </is>
      </c>
      <c r="C19" s="15" t="inlineStr">
        <is>
          <t>Med</t>
        </is>
      </c>
    </row>
    <row r="20">
      <c r="A20" s="15" t="inlineStr">
        <is>
          <t>Azure Service Bus pricing</t>
        </is>
      </c>
      <c r="B20" s="24" t="inlineStr">
        <is>
          <t>https://azure.microsoft.com/en-us/pricing/details/service-bus/</t>
        </is>
      </c>
      <c r="C20" s="15" t="inlineStr">
        <is>
          <t>Med</t>
        </is>
      </c>
    </row>
    <row r="21">
      <c r="A21" s="15" t="inlineStr">
        <is>
          <t>Azure Cache for Redis pricing</t>
        </is>
      </c>
      <c r="B21" s="24" t="inlineStr">
        <is>
          <t>https://azure.microsoft.com/en-us/pricing/details/cache/</t>
        </is>
      </c>
      <c r="C21" s="15" t="inlineStr">
        <is>
          <t>Med</t>
        </is>
      </c>
    </row>
    <row r="22">
      <c r="A22" s="15" t="inlineStr">
        <is>
          <t>Azure Blob Storage pricing</t>
        </is>
      </c>
      <c r="B22" s="24" t="inlineStr">
        <is>
          <t>https://azure.microsoft.com/en-us/pricing/details/storage/blobs/</t>
        </is>
      </c>
      <c r="C22" s="15" t="inlineStr">
        <is>
          <t>High</t>
        </is>
      </c>
    </row>
    <row r="23">
      <c r="A23" s="15" t="inlineStr">
        <is>
          <t>Azure Key Vault / Managed HSM pricing</t>
        </is>
      </c>
      <c r="B23" s="24" t="inlineStr">
        <is>
          <t>https://azure.microsoft.com/en-us/pricing/details/key-vault/</t>
        </is>
      </c>
      <c r="C23" s="15" t="inlineStr">
        <is>
          <t>Med</t>
        </is>
      </c>
    </row>
    <row r="24">
      <c r="A24" s="15" t="inlineStr">
        <is>
          <t>Microsoft Defender for Cloud pricing</t>
        </is>
      </c>
      <c r="B24" s="24" t="inlineStr">
        <is>
          <t>https://azure.microsoft.com/en-us/pricing/details/defender-for-cloud/</t>
        </is>
      </c>
      <c r="C24" s="15" t="inlineStr">
        <is>
          <t>High</t>
        </is>
      </c>
    </row>
    <row r="25">
      <c r="A25" s="15" t="inlineStr">
        <is>
          <t>Microsoft Sentinel pricing</t>
        </is>
      </c>
      <c r="B25" s="24" t="inlineStr">
        <is>
          <t>https://azure.microsoft.com/en-us/pricing/details/microsoft-sentinel/</t>
        </is>
      </c>
      <c r="C25" s="15" t="inlineStr">
        <is>
          <t>High</t>
        </is>
      </c>
    </row>
    <row r="26">
      <c r="A26" s="15" t="inlineStr">
        <is>
          <t>Azure Monitor / Log Analytics pricing</t>
        </is>
      </c>
      <c r="B26" s="24" t="inlineStr">
        <is>
          <t>https://azure.microsoft.com/en-us/pricing/details/monitor/</t>
        </is>
      </c>
      <c r="C26" s="15" t="inlineStr">
        <is>
          <t>High</t>
        </is>
      </c>
    </row>
    <row r="27">
      <c r="A27" s="15" t="inlineStr">
        <is>
          <t>Azure Firewall pricing</t>
        </is>
      </c>
      <c r="B27" s="24" t="inlineStr">
        <is>
          <t>https://azure.microsoft.com/en-us/pricing/details/azure-firewall/</t>
        </is>
      </c>
      <c r="C27" s="15" t="inlineStr">
        <is>
          <t>High</t>
        </is>
      </c>
    </row>
    <row r="28">
      <c r="A28" s="15" t="inlineStr">
        <is>
          <t>Azure Bastion pricing</t>
        </is>
      </c>
      <c r="B28" s="24" t="inlineStr">
        <is>
          <t>https://azure.microsoft.com/en-us/pricing/details/azure-bastion/</t>
        </is>
      </c>
      <c r="C28" s="15" t="inlineStr">
        <is>
          <t>Med</t>
        </is>
      </c>
    </row>
    <row r="29">
      <c r="A29" s="15" t="inlineStr">
        <is>
          <t>Azure Container Registry pricing</t>
        </is>
      </c>
      <c r="B29" s="24" t="inlineStr">
        <is>
          <t>https://azure.microsoft.com/en-us/pricing/details/container-registry/</t>
        </is>
      </c>
      <c r="C29" s="15" t="inlineStr">
        <is>
          <t>High</t>
        </is>
      </c>
    </row>
    <row r="30">
      <c r="A30" s="15" t="inlineStr">
        <is>
          <t>Azure Bandwidth pricing</t>
        </is>
      </c>
      <c r="B30" s="24" t="inlineStr">
        <is>
          <t>https://azure.microsoft.com/en-us/pricing/details/bandwidth/</t>
        </is>
      </c>
      <c r="C30" s="15" t="inlineStr">
        <is>
          <t>High</t>
        </is>
      </c>
    </row>
    <row r="31">
      <c r="A31" s="15" t="inlineStr">
        <is>
          <t>Microsoft HIPAA BAA (Product Terms/DPA)</t>
        </is>
      </c>
      <c r="B31" s="24" t="inlineStr">
        <is>
          <t>https://learn.microsoft.com/en-us/azure/compliance/offerings/offering-hipaa-us</t>
        </is>
      </c>
      <c r="C31" s="15" t="inlineStr">
        <is>
          <t>High</t>
        </is>
      </c>
    </row>
    <row r="32">
      <c r="A32" s="15" t="inlineStr">
        <is>
          <t>Azure AI Document Intelligence pricing</t>
        </is>
      </c>
      <c r="B32" s="24" t="inlineStr">
        <is>
          <t>https://azure.microsoft.com/en-us/pricing/details/ai-document-intelligence/</t>
        </is>
      </c>
      <c r="C32" s="15" t="inlineStr">
        <is>
          <t>Med</t>
        </is>
      </c>
    </row>
    <row r="33">
      <c r="A33" s="15" t="inlineStr">
        <is>
          <t>Voice-AI stack per-minute (blended estimate)</t>
        </is>
      </c>
      <c r="B33" s="24" t="inlineStr">
        <is>
          <t>https://www.retellai.com/blog/ai-voice-agent-pricing-full-cost-breakdown-platform-comparison-roi-analysis</t>
        </is>
      </c>
      <c r="C33" s="15" t="inlineStr">
        <is>
          <t>Est</t>
        </is>
      </c>
    </row>
    <row r="34">
      <c r="A34" s="15" t="inlineStr">
        <is>
          <t>Stedi clearinghouse pricing (free tier + PAYG)</t>
        </is>
      </c>
      <c r="B34" s="24" t="inlineStr">
        <is>
          <t>https://www.stedi.com/pricing</t>
        </is>
      </c>
      <c r="C34" s="15" t="inlineStr">
        <is>
          <t>High</t>
        </is>
      </c>
    </row>
    <row r="35">
      <c r="A35" s="15" t="inlineStr">
        <is>
          <t>SOC 2 cost benchmarks (Secureframe/Drata)</t>
        </is>
      </c>
      <c r="B35" s="24" t="inlineStr">
        <is>
          <t>https://secureframe.com/hub/soc-2/audit-cost</t>
        </is>
      </c>
      <c r="C35" s="15" t="inlineStr">
        <is>
          <t>Med-High</t>
        </is>
      </c>
    </row>
    <row r="36">
      <c r="A36" s="15" t="inlineStr">
        <is>
          <t>HITRUST CSF cost benchmarks (Thoropass/Sprinto)</t>
        </is>
      </c>
      <c r="B36" s="24" t="inlineStr">
        <is>
          <t>https://www.thoropass.com/blog/hitrust-audit-cost-a-guide</t>
        </is>
      </c>
      <c r="C36" s="15" t="inlineStr">
        <is>
          <t>Med</t>
        </is>
      </c>
    </row>
    <row r="37">
      <c r="A37" s="15" t="inlineStr">
        <is>
          <t>HIPAA risk assessment cost (Secureframe)</t>
        </is>
      </c>
      <c r="B37" s="24" t="inlineStr">
        <is>
          <t>https://secureframe.com/hub/hipaa/costs</t>
        </is>
      </c>
      <c r="C37" s="15" t="inlineStr">
        <is>
          <t>Med</t>
        </is>
      </c>
    </row>
    <row r="38">
      <c r="A38" s="15" t="inlineStr">
        <is>
          <t>Penetration test cost (Bright Defense)</t>
        </is>
      </c>
      <c r="B38" s="24" t="inlineStr">
        <is>
          <t>https://www.brightdefense.com/resources/penetration-testing-pricing/</t>
        </is>
      </c>
      <c r="C38" s="15" t="inlineStr">
        <is>
          <t>Med-High</t>
        </is>
      </c>
    </row>
    <row r="39">
      <c r="A39" s="15" t="inlineStr">
        <is>
          <t>Compliance automation tooling cost</t>
        </is>
      </c>
      <c r="B39" s="24" t="inlineStr">
        <is>
          <t>https://www.secureleap.tech/blog/vanta-review-pricing-top-alternatives-for-compliance-automation</t>
        </is>
      </c>
      <c r="C39" s="15" t="inlineStr">
        <is>
          <t>Med-High</t>
        </is>
      </c>
    </row>
    <row r="40">
      <c r="A40" s="15" t="inlineStr">
        <is>
          <t>vCISO / fractional CISO cost</t>
        </is>
      </c>
      <c r="B40" s="24" t="inlineStr">
        <is>
          <t>https://sidechannel.com/blog/the-ultimate-guide-to-vciso-pricing-everything-you-need-to-know/</t>
        </is>
      </c>
      <c r="C40" s="15" t="inlineStr">
        <is>
          <t>Med-High</t>
        </is>
      </c>
    </row>
    <row r="41">
      <c r="A41" s="15" t="inlineStr">
        <is>
          <t>India developer salary benchmarks (Glassdoor/6figr/Levels)</t>
        </is>
      </c>
      <c r="B41" s="24" t="inlineStr">
        <is>
          <t>https://6figr.com/</t>
        </is>
      </c>
      <c r="C41" s="15" t="inlineStr">
        <is>
          <t>Med</t>
        </is>
      </c>
    </row>
  </sheetData>
  <autoFilter ref="A4:C4"/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29" r:id="rId25"/>
    <hyperlink xmlns:r="http://schemas.openxmlformats.org/officeDocument/2006/relationships" ref="B30" r:id="rId26"/>
    <hyperlink xmlns:r="http://schemas.openxmlformats.org/officeDocument/2006/relationships" ref="B31" r:id="rId27"/>
    <hyperlink xmlns:r="http://schemas.openxmlformats.org/officeDocument/2006/relationships" ref="B32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2026-08-18T18:10:35Z</dcterms:created>
  <dcterms:modified xmlns:dcterms="http://purl.org/dc/terms/" xmlns:xsi="http://www.w3.org/2001/XMLSchema-instance" xsi:type="dcterms:W3CDTF">2026-08-18T18:10:35Z</dcterms:modified>
</cp:coreProperties>
</file>